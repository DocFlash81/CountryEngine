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docflash/Library/CloudStorage/Dropbox/"/>
    </mc:Choice>
  </mc:AlternateContent>
  <xr:revisionPtr revIDLastSave="0" documentId="13_ncr:1_{3B3CB640-D044-9744-8D9A-516BAA9102EC}" xr6:coauthVersionLast="47" xr6:coauthVersionMax="47" xr10:uidLastSave="{00000000-0000-0000-0000-000000000000}"/>
  <bookViews>
    <workbookView xWindow="760" yWindow="1300" windowWidth="34400" windowHeight="20000" activeTab="4" xr2:uid="{7A9D76A6-1D54-4247-A9B7-DB2757A6D2CD}"/>
  </bookViews>
  <sheets>
    <sheet name="Modern" sheetId="1" r:id="rId1"/>
    <sheet name="Sovereignty" sheetId="2" r:id="rId2"/>
    <sheet name="Capitals" sheetId="3" r:id="rId3"/>
    <sheet name="Names" sheetId="4" r:id="rId4"/>
    <sheet name="Maps" sheetId="5" r:id="rId5"/>
  </sheets>
  <definedNames>
    <definedName name="Conv">_xlfn.LAMBDA(_xlpm.deg,_xlpm.min,_xlpm.sec,_xlpm.dir,IF(OR(_xlpm.dir="S",_xlpm.dir="W"), -(_xlpm.deg + _xlpm.min/60 + _xlpm.sec/3600), _xlpm.deg + _xlpm.min/60 + _xlpm.sec/3600 ) 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5" l="1"/>
  <c r="E10" i="5"/>
  <c r="E5" i="5"/>
  <c r="E174" i="5"/>
  <c r="E175" i="5"/>
  <c r="F176" i="4"/>
  <c r="F178" i="4"/>
  <c r="F177" i="4"/>
  <c r="F194" i="3"/>
  <c r="E194" i="3"/>
  <c r="F193" i="3"/>
  <c r="E193" i="3"/>
  <c r="H194" i="3"/>
  <c r="H195" i="3"/>
  <c r="H201" i="3"/>
  <c r="F201" i="3"/>
  <c r="E201" i="3"/>
  <c r="H200" i="3"/>
  <c r="F200" i="3"/>
  <c r="E200" i="3"/>
  <c r="H199" i="3"/>
  <c r="F199" i="3"/>
  <c r="E199" i="3"/>
  <c r="H198" i="3"/>
  <c r="F198" i="3"/>
  <c r="E198" i="3"/>
  <c r="H197" i="3"/>
  <c r="F197" i="3"/>
  <c r="E197" i="3"/>
  <c r="H196" i="3"/>
  <c r="F196" i="3"/>
  <c r="E196" i="3"/>
  <c r="F195" i="3"/>
  <c r="E195" i="3"/>
  <c r="J163" i="2"/>
  <c r="J162" i="2"/>
  <c r="E141" i="5"/>
  <c r="F143" i="4"/>
  <c r="F142" i="4"/>
  <c r="H158" i="3"/>
  <c r="F158" i="3"/>
  <c r="E158" i="3"/>
  <c r="J126" i="2"/>
  <c r="E81" i="5"/>
  <c r="E79" i="5"/>
  <c r="F42" i="4"/>
  <c r="F43" i="4"/>
  <c r="E48" i="5"/>
  <c r="E47" i="5"/>
  <c r="E46" i="5"/>
  <c r="E45" i="5"/>
  <c r="E44" i="5"/>
  <c r="E43" i="5"/>
  <c r="E42" i="5"/>
  <c r="E41" i="5"/>
  <c r="F346" i="3"/>
  <c r="E346" i="3"/>
  <c r="E340" i="3"/>
  <c r="F340" i="3"/>
  <c r="F339" i="3"/>
  <c r="E339" i="3"/>
  <c r="F263" i="3"/>
  <c r="E263" i="3"/>
  <c r="F141" i="3"/>
  <c r="E141" i="3"/>
  <c r="E154" i="3"/>
  <c r="F154" i="3"/>
  <c r="E155" i="3"/>
  <c r="F155" i="3"/>
  <c r="F153" i="3"/>
  <c r="E153" i="3"/>
  <c r="E152" i="3"/>
  <c r="F152" i="3"/>
  <c r="F151" i="3"/>
  <c r="E151" i="3"/>
  <c r="F105" i="3"/>
  <c r="E105" i="3"/>
  <c r="E38" i="3"/>
  <c r="F38" i="3"/>
  <c r="F37" i="3"/>
  <c r="E37" i="3"/>
  <c r="F32" i="3"/>
  <c r="E32" i="3"/>
  <c r="E21" i="5"/>
  <c r="E19" i="5"/>
  <c r="E2" i="5"/>
  <c r="E3" i="5"/>
  <c r="E4" i="5"/>
  <c r="E191" i="5"/>
  <c r="E196" i="5"/>
  <c r="E198" i="5"/>
  <c r="F220" i="4"/>
  <c r="E216" i="5"/>
  <c r="E187" i="5"/>
  <c r="E203" i="5"/>
  <c r="E192" i="5"/>
  <c r="E193" i="5"/>
  <c r="E202" i="5"/>
  <c r="E206" i="5"/>
  <c r="E209" i="5"/>
  <c r="E217" i="5"/>
  <c r="E215" i="5"/>
  <c r="E214" i="5"/>
  <c r="E213" i="5"/>
  <c r="E212" i="5"/>
  <c r="E211" i="5"/>
  <c r="E210" i="5"/>
  <c r="E208" i="5"/>
  <c r="E207" i="5"/>
  <c r="E205" i="5"/>
  <c r="E204" i="5"/>
  <c r="E201" i="5"/>
  <c r="E200" i="5"/>
  <c r="E199" i="5"/>
  <c r="E197" i="5"/>
  <c r="E195" i="5"/>
  <c r="E194" i="5"/>
  <c r="E190" i="5"/>
  <c r="E189" i="5"/>
  <c r="E188" i="5"/>
  <c r="E186" i="5"/>
  <c r="E185" i="5"/>
  <c r="E184" i="5"/>
  <c r="E183" i="5"/>
  <c r="E182" i="5"/>
  <c r="E549" i="5"/>
  <c r="E548" i="5"/>
  <c r="E547" i="5"/>
  <c r="E546" i="5"/>
  <c r="E545" i="5"/>
  <c r="E544" i="5"/>
  <c r="E543" i="5"/>
  <c r="E542" i="5"/>
  <c r="E541" i="5"/>
  <c r="E540" i="5"/>
  <c r="E539" i="5"/>
  <c r="E538" i="5"/>
  <c r="E537" i="5"/>
  <c r="E536" i="5"/>
  <c r="E535" i="5"/>
  <c r="E534" i="5"/>
  <c r="E533" i="5"/>
  <c r="E532" i="5"/>
  <c r="E531" i="5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181" i="5"/>
  <c r="E180" i="5"/>
  <c r="E179" i="5"/>
  <c r="E178" i="5"/>
  <c r="E230" i="5"/>
  <c r="E229" i="5"/>
  <c r="E228" i="5"/>
  <c r="E227" i="5"/>
  <c r="E226" i="5"/>
  <c r="E225" i="5"/>
  <c r="E224" i="5"/>
  <c r="E223" i="5"/>
  <c r="E509" i="5"/>
  <c r="E177" i="5"/>
  <c r="E176" i="5"/>
  <c r="E222" i="5"/>
  <c r="E221" i="5"/>
  <c r="E220" i="5"/>
  <c r="E219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35" i="5"/>
  <c r="E85" i="5"/>
  <c r="E84" i="5"/>
  <c r="E83" i="5"/>
  <c r="E82" i="5"/>
  <c r="E80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0" i="5"/>
  <c r="E39" i="5"/>
  <c r="E38" i="5"/>
  <c r="E37" i="5"/>
  <c r="E36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0" i="5"/>
  <c r="E18" i="5"/>
  <c r="E17" i="5"/>
  <c r="E16" i="5"/>
  <c r="E15" i="5"/>
  <c r="E14" i="5"/>
  <c r="E13" i="5"/>
  <c r="E12" i="5"/>
  <c r="E9" i="5"/>
  <c r="E8" i="5"/>
  <c r="E7" i="5"/>
  <c r="E6" i="5"/>
  <c r="E218" i="5"/>
  <c r="F222" i="4"/>
  <c r="F221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610" i="4"/>
  <c r="F609" i="4"/>
  <c r="F608" i="4"/>
  <c r="F607" i="4"/>
  <c r="F606" i="4"/>
  <c r="F605" i="4"/>
  <c r="F604" i="4"/>
  <c r="F603" i="4"/>
  <c r="F602" i="4"/>
  <c r="F601" i="4"/>
  <c r="F600" i="4"/>
  <c r="F599" i="4"/>
  <c r="F598" i="4"/>
  <c r="F597" i="4"/>
  <c r="F596" i="4"/>
  <c r="F595" i="4"/>
  <c r="F594" i="4"/>
  <c r="F593" i="4"/>
  <c r="F592" i="4"/>
  <c r="F591" i="4"/>
  <c r="F590" i="4"/>
  <c r="F589" i="4"/>
  <c r="F588" i="4"/>
  <c r="F587" i="4"/>
  <c r="F586" i="4"/>
  <c r="F585" i="4"/>
  <c r="F584" i="4"/>
  <c r="F583" i="4"/>
  <c r="F582" i="4"/>
  <c r="F581" i="4"/>
  <c r="F580" i="4"/>
  <c r="F579" i="4"/>
  <c r="F578" i="4"/>
  <c r="F577" i="4"/>
  <c r="F576" i="4"/>
  <c r="F575" i="4"/>
  <c r="F574" i="4"/>
  <c r="F573" i="4"/>
  <c r="F572" i="4"/>
  <c r="F571" i="4"/>
  <c r="F570" i="4"/>
  <c r="F569" i="4"/>
  <c r="F568" i="4"/>
  <c r="F567" i="4"/>
  <c r="F566" i="4"/>
  <c r="F565" i="4"/>
  <c r="F564" i="4"/>
  <c r="F562" i="4"/>
  <c r="F561" i="4"/>
  <c r="F560" i="4"/>
  <c r="F559" i="4"/>
  <c r="F558" i="4"/>
  <c r="F557" i="4"/>
  <c r="F556" i="4"/>
  <c r="F555" i="4"/>
  <c r="F554" i="4"/>
  <c r="F553" i="4"/>
  <c r="F552" i="4"/>
  <c r="F551" i="4"/>
  <c r="F550" i="4"/>
  <c r="F549" i="4"/>
  <c r="F548" i="4"/>
  <c r="F547" i="4"/>
  <c r="F546" i="4"/>
  <c r="F545" i="4"/>
  <c r="F544" i="4"/>
  <c r="F543" i="4"/>
  <c r="F542" i="4"/>
  <c r="F541" i="4"/>
  <c r="F540" i="4"/>
  <c r="F539" i="4"/>
  <c r="F538" i="4"/>
  <c r="F537" i="4"/>
  <c r="F536" i="4"/>
  <c r="F535" i="4"/>
  <c r="F534" i="4"/>
  <c r="F533" i="4"/>
  <c r="F532" i="4"/>
  <c r="F531" i="4"/>
  <c r="F530" i="4"/>
  <c r="F529" i="4"/>
  <c r="F528" i="4"/>
  <c r="F527" i="4"/>
  <c r="F526" i="4"/>
  <c r="F525" i="4"/>
  <c r="F524" i="4"/>
  <c r="F523" i="4"/>
  <c r="F522" i="4"/>
  <c r="F521" i="4"/>
  <c r="F520" i="4"/>
  <c r="F519" i="4"/>
  <c r="F518" i="4"/>
  <c r="F517" i="4"/>
  <c r="F516" i="4"/>
  <c r="F515" i="4"/>
  <c r="F514" i="4"/>
  <c r="F513" i="4"/>
  <c r="F512" i="4"/>
  <c r="F511" i="4"/>
  <c r="F510" i="4"/>
  <c r="F509" i="4"/>
  <c r="F508" i="4"/>
  <c r="F507" i="4"/>
  <c r="F506" i="4"/>
  <c r="F505" i="4"/>
  <c r="F504" i="4"/>
  <c r="F503" i="4"/>
  <c r="F502" i="4"/>
  <c r="F501" i="4"/>
  <c r="F500" i="4"/>
  <c r="F499" i="4"/>
  <c r="F498" i="4"/>
  <c r="F497" i="4"/>
  <c r="F496" i="4"/>
  <c r="F495" i="4"/>
  <c r="F494" i="4"/>
  <c r="F493" i="4"/>
  <c r="F492" i="4"/>
  <c r="F491" i="4"/>
  <c r="F490" i="4"/>
  <c r="F489" i="4"/>
  <c r="F488" i="4"/>
  <c r="F487" i="4"/>
  <c r="F486" i="4"/>
  <c r="F485" i="4"/>
  <c r="F484" i="4"/>
  <c r="F483" i="4"/>
  <c r="F482" i="4"/>
  <c r="F481" i="4"/>
  <c r="F480" i="4"/>
  <c r="F479" i="4"/>
  <c r="F478" i="4"/>
  <c r="F477" i="4"/>
  <c r="F476" i="4"/>
  <c r="F475" i="4"/>
  <c r="F474" i="4"/>
  <c r="F473" i="4"/>
  <c r="F472" i="4"/>
  <c r="F471" i="4"/>
  <c r="F470" i="4"/>
  <c r="F469" i="4"/>
  <c r="F468" i="4"/>
  <c r="F467" i="4"/>
  <c r="F466" i="4"/>
  <c r="F465" i="4"/>
  <c r="F464" i="4"/>
  <c r="F463" i="4"/>
  <c r="F462" i="4"/>
  <c r="F461" i="4"/>
  <c r="F460" i="4"/>
  <c r="F459" i="4"/>
  <c r="F458" i="4"/>
  <c r="F457" i="4"/>
  <c r="F456" i="4"/>
  <c r="F455" i="4"/>
  <c r="F454" i="4"/>
  <c r="F453" i="4"/>
  <c r="F452" i="4"/>
  <c r="F451" i="4"/>
  <c r="F450" i="4"/>
  <c r="F449" i="4"/>
  <c r="F448" i="4"/>
  <c r="F447" i="4"/>
  <c r="F446" i="4"/>
  <c r="F445" i="4"/>
  <c r="F444" i="4"/>
  <c r="F443" i="4"/>
  <c r="F442" i="4"/>
  <c r="F441" i="4"/>
  <c r="F440" i="4"/>
  <c r="F439" i="4"/>
  <c r="F438" i="4"/>
  <c r="F437" i="4"/>
  <c r="F436" i="4"/>
  <c r="F435" i="4"/>
  <c r="F434" i="4"/>
  <c r="F433" i="4"/>
  <c r="F432" i="4"/>
  <c r="F431" i="4"/>
  <c r="F430" i="4"/>
  <c r="F429" i="4"/>
  <c r="F428" i="4"/>
  <c r="F427" i="4"/>
  <c r="F426" i="4"/>
  <c r="F425" i="4"/>
  <c r="F424" i="4"/>
  <c r="F423" i="4"/>
  <c r="F422" i="4"/>
  <c r="F421" i="4"/>
  <c r="F420" i="4"/>
  <c r="F419" i="4"/>
  <c r="F418" i="4"/>
  <c r="F417" i="4"/>
  <c r="F416" i="4"/>
  <c r="F415" i="4"/>
  <c r="F414" i="4"/>
  <c r="F413" i="4"/>
  <c r="F412" i="4"/>
  <c r="F411" i="4"/>
  <c r="F410" i="4"/>
  <c r="F409" i="4"/>
  <c r="F408" i="4"/>
  <c r="F407" i="4"/>
  <c r="F406" i="4"/>
  <c r="F405" i="4"/>
  <c r="F404" i="4"/>
  <c r="F403" i="4"/>
  <c r="F402" i="4"/>
  <c r="F401" i="4"/>
  <c r="F400" i="4"/>
  <c r="F399" i="4"/>
  <c r="F398" i="4"/>
  <c r="F397" i="4"/>
  <c r="F396" i="4"/>
  <c r="F395" i="4"/>
  <c r="F394" i="4"/>
  <c r="F393" i="4"/>
  <c r="F392" i="4"/>
  <c r="F391" i="4"/>
  <c r="F390" i="4"/>
  <c r="F389" i="4"/>
  <c r="F388" i="4"/>
  <c r="F387" i="4"/>
  <c r="F386" i="4"/>
  <c r="F385" i="4"/>
  <c r="F384" i="4"/>
  <c r="F383" i="4"/>
  <c r="F382" i="4"/>
  <c r="F381" i="4"/>
  <c r="F380" i="4"/>
  <c r="F379" i="4"/>
  <c r="F378" i="4"/>
  <c r="F377" i="4"/>
  <c r="F376" i="4"/>
  <c r="F375" i="4"/>
  <c r="F374" i="4"/>
  <c r="F373" i="4"/>
  <c r="F372" i="4"/>
  <c r="F371" i="4"/>
  <c r="F370" i="4"/>
  <c r="F369" i="4"/>
  <c r="F368" i="4"/>
  <c r="F367" i="4"/>
  <c r="F366" i="4"/>
  <c r="F365" i="4"/>
  <c r="F364" i="4"/>
  <c r="F363" i="4"/>
  <c r="F362" i="4"/>
  <c r="F361" i="4"/>
  <c r="F360" i="4"/>
  <c r="F359" i="4"/>
  <c r="F358" i="4"/>
  <c r="F357" i="4"/>
  <c r="F356" i="4"/>
  <c r="F355" i="4"/>
  <c r="F354" i="4"/>
  <c r="F353" i="4"/>
  <c r="F352" i="4"/>
  <c r="F351" i="4"/>
  <c r="F350" i="4"/>
  <c r="F349" i="4"/>
  <c r="F348" i="4"/>
  <c r="F347" i="4"/>
  <c r="F346" i="4"/>
  <c r="F345" i="4"/>
  <c r="F344" i="4"/>
  <c r="F343" i="4"/>
  <c r="F342" i="4"/>
  <c r="F341" i="4"/>
  <c r="F340" i="4"/>
  <c r="F339" i="4"/>
  <c r="F338" i="4"/>
  <c r="F337" i="4"/>
  <c r="F336" i="4"/>
  <c r="F335" i="4"/>
  <c r="F334" i="4"/>
  <c r="F333" i="4"/>
  <c r="F332" i="4"/>
  <c r="F331" i="4"/>
  <c r="F330" i="4"/>
  <c r="F329" i="4"/>
  <c r="F328" i="4"/>
  <c r="F327" i="4"/>
  <c r="F326" i="4"/>
  <c r="F325" i="4"/>
  <c r="F324" i="4"/>
  <c r="F323" i="4"/>
  <c r="F322" i="4"/>
  <c r="F321" i="4"/>
  <c r="F320" i="4"/>
  <c r="F319" i="4"/>
  <c r="F318" i="4"/>
  <c r="F317" i="4"/>
  <c r="F316" i="4"/>
  <c r="F315" i="4"/>
  <c r="F314" i="4"/>
  <c r="F313" i="4"/>
  <c r="F312" i="4"/>
  <c r="F311" i="4"/>
  <c r="F310" i="4"/>
  <c r="F309" i="4"/>
  <c r="F308" i="4"/>
  <c r="F307" i="4"/>
  <c r="F306" i="4"/>
  <c r="F305" i="4"/>
  <c r="F304" i="4"/>
  <c r="F303" i="4"/>
  <c r="F302" i="4"/>
  <c r="F301" i="4"/>
  <c r="F300" i="4"/>
  <c r="F299" i="4"/>
  <c r="F298" i="4"/>
  <c r="F297" i="4"/>
  <c r="F296" i="4"/>
  <c r="F295" i="4"/>
  <c r="F294" i="4"/>
  <c r="F293" i="4"/>
  <c r="F292" i="4"/>
  <c r="F291" i="4"/>
  <c r="F290" i="4"/>
  <c r="F289" i="4"/>
  <c r="F288" i="4"/>
  <c r="F287" i="4"/>
  <c r="F286" i="4"/>
  <c r="F285" i="4"/>
  <c r="F284" i="4"/>
  <c r="F283" i="4"/>
  <c r="F282" i="4"/>
  <c r="F281" i="4"/>
  <c r="F280" i="4"/>
  <c r="F279" i="4"/>
  <c r="F278" i="4"/>
  <c r="F277" i="4"/>
  <c r="F276" i="4"/>
  <c r="F275" i="4"/>
  <c r="F274" i="4"/>
  <c r="F273" i="4"/>
  <c r="F272" i="4"/>
  <c r="F271" i="4"/>
  <c r="F270" i="4"/>
  <c r="F269" i="4"/>
  <c r="F268" i="4"/>
  <c r="F267" i="4"/>
  <c r="F266" i="4"/>
  <c r="F265" i="4"/>
  <c r="F264" i="4"/>
  <c r="F263" i="4"/>
  <c r="F262" i="4"/>
  <c r="F261" i="4"/>
  <c r="F260" i="4"/>
  <c r="F259" i="4"/>
  <c r="F258" i="4"/>
  <c r="F257" i="4"/>
  <c r="F256" i="4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8" i="4"/>
  <c r="F237" i="4"/>
  <c r="F236" i="4"/>
  <c r="F184" i="4"/>
  <c r="F183" i="4"/>
  <c r="F182" i="4"/>
  <c r="F181" i="4"/>
  <c r="F235" i="4"/>
  <c r="F234" i="4"/>
  <c r="F233" i="4"/>
  <c r="F232" i="4"/>
  <c r="F231" i="4"/>
  <c r="F230" i="4"/>
  <c r="F229" i="4"/>
  <c r="F228" i="4"/>
  <c r="F563" i="4"/>
  <c r="F180" i="4"/>
  <c r="F179" i="4"/>
  <c r="F227" i="4"/>
  <c r="F226" i="4"/>
  <c r="F225" i="4"/>
  <c r="F224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F223" i="4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613" i="3"/>
  <c r="H612" i="3"/>
  <c r="H611" i="3"/>
  <c r="H610" i="3"/>
  <c r="H609" i="3"/>
  <c r="H608" i="3"/>
  <c r="H607" i="3"/>
  <c r="H606" i="3"/>
  <c r="H605" i="3"/>
  <c r="H604" i="3"/>
  <c r="H603" i="3"/>
  <c r="H602" i="3"/>
  <c r="H601" i="3"/>
  <c r="H600" i="3"/>
  <c r="H599" i="3"/>
  <c r="H598" i="3"/>
  <c r="H597" i="3"/>
  <c r="H596" i="3"/>
  <c r="H595" i="3"/>
  <c r="H594" i="3"/>
  <c r="H593" i="3"/>
  <c r="H592" i="3"/>
  <c r="H591" i="3"/>
  <c r="H590" i="3"/>
  <c r="H589" i="3"/>
  <c r="H588" i="3"/>
  <c r="H587" i="3"/>
  <c r="H586" i="3"/>
  <c r="H585" i="3"/>
  <c r="H584" i="3"/>
  <c r="H583" i="3"/>
  <c r="H582" i="3"/>
  <c r="H581" i="3"/>
  <c r="H580" i="3"/>
  <c r="H579" i="3"/>
  <c r="H578" i="3"/>
  <c r="H577" i="3"/>
  <c r="H576" i="3"/>
  <c r="H575" i="3"/>
  <c r="H574" i="3"/>
  <c r="H573" i="3"/>
  <c r="H572" i="3"/>
  <c r="H571" i="3"/>
  <c r="H570" i="3"/>
  <c r="H569" i="3"/>
  <c r="H568" i="3"/>
  <c r="H567" i="3"/>
  <c r="H566" i="3"/>
  <c r="H565" i="3"/>
  <c r="H564" i="3"/>
  <c r="H563" i="3"/>
  <c r="H562" i="3"/>
  <c r="H561" i="3"/>
  <c r="H560" i="3"/>
  <c r="H559" i="3"/>
  <c r="H558" i="3"/>
  <c r="H557" i="3"/>
  <c r="H556" i="3"/>
  <c r="H555" i="3"/>
  <c r="H554" i="3"/>
  <c r="H553" i="3"/>
  <c r="H552" i="3"/>
  <c r="H551" i="3"/>
  <c r="H550" i="3"/>
  <c r="H549" i="3"/>
  <c r="H548" i="3"/>
  <c r="H547" i="3"/>
  <c r="H546" i="3"/>
  <c r="H545" i="3"/>
  <c r="H544" i="3"/>
  <c r="H543" i="3"/>
  <c r="H542" i="3"/>
  <c r="H541" i="3"/>
  <c r="H540" i="3"/>
  <c r="H539" i="3"/>
  <c r="H538" i="3"/>
  <c r="H537" i="3"/>
  <c r="H536" i="3"/>
  <c r="H535" i="3"/>
  <c r="H534" i="3"/>
  <c r="H533" i="3"/>
  <c r="H532" i="3"/>
  <c r="H531" i="3"/>
  <c r="H530" i="3"/>
  <c r="H529" i="3"/>
  <c r="H528" i="3"/>
  <c r="H527" i="3"/>
  <c r="H526" i="3"/>
  <c r="H525" i="3"/>
  <c r="H524" i="3"/>
  <c r="H523" i="3"/>
  <c r="H522" i="3"/>
  <c r="H521" i="3"/>
  <c r="H520" i="3"/>
  <c r="H519" i="3"/>
  <c r="H518" i="3"/>
  <c r="H517" i="3"/>
  <c r="H516" i="3"/>
  <c r="H515" i="3"/>
  <c r="H514" i="3"/>
  <c r="H513" i="3"/>
  <c r="H512" i="3"/>
  <c r="H511" i="3"/>
  <c r="H510" i="3"/>
  <c r="H509" i="3"/>
  <c r="H508" i="3"/>
  <c r="H507" i="3"/>
  <c r="H506" i="3"/>
  <c r="H505" i="3"/>
  <c r="H504" i="3"/>
  <c r="H503" i="3"/>
  <c r="H502" i="3"/>
  <c r="H501" i="3"/>
  <c r="H500" i="3"/>
  <c r="H499" i="3"/>
  <c r="H498" i="3"/>
  <c r="H497" i="3"/>
  <c r="H496" i="3"/>
  <c r="H495" i="3"/>
  <c r="H494" i="3"/>
  <c r="H493" i="3"/>
  <c r="H492" i="3"/>
  <c r="H491" i="3"/>
  <c r="H490" i="3"/>
  <c r="H489" i="3"/>
  <c r="H488" i="3"/>
  <c r="H487" i="3"/>
  <c r="H486" i="3"/>
  <c r="H485" i="3"/>
  <c r="H484" i="3"/>
  <c r="H483" i="3"/>
  <c r="H482" i="3"/>
  <c r="H481" i="3"/>
  <c r="H480" i="3"/>
  <c r="H479" i="3"/>
  <c r="H478" i="3"/>
  <c r="H477" i="3"/>
  <c r="H476" i="3"/>
  <c r="H475" i="3"/>
  <c r="H474" i="3"/>
  <c r="H473" i="3"/>
  <c r="H472" i="3"/>
  <c r="H471" i="3"/>
  <c r="H470" i="3"/>
  <c r="H469" i="3"/>
  <c r="H468" i="3"/>
  <c r="H467" i="3"/>
  <c r="H466" i="3"/>
  <c r="H465" i="3"/>
  <c r="H464" i="3"/>
  <c r="H463" i="3"/>
  <c r="H462" i="3"/>
  <c r="H461" i="3"/>
  <c r="H460" i="3"/>
  <c r="H459" i="3"/>
  <c r="H458" i="3"/>
  <c r="H457" i="3"/>
  <c r="H456" i="3"/>
  <c r="H455" i="3"/>
  <c r="H454" i="3"/>
  <c r="H453" i="3"/>
  <c r="H452" i="3"/>
  <c r="H451" i="3"/>
  <c r="H450" i="3"/>
  <c r="H449" i="3"/>
  <c r="H448" i="3"/>
  <c r="H447" i="3"/>
  <c r="H446" i="3"/>
  <c r="H445" i="3"/>
  <c r="H444" i="3"/>
  <c r="H443" i="3"/>
  <c r="H442" i="3"/>
  <c r="H441" i="3"/>
  <c r="H440" i="3"/>
  <c r="H439" i="3"/>
  <c r="H438" i="3"/>
  <c r="H437" i="3"/>
  <c r="H436" i="3"/>
  <c r="H435" i="3"/>
  <c r="H434" i="3"/>
  <c r="H433" i="3"/>
  <c r="H432" i="3"/>
  <c r="H431" i="3"/>
  <c r="H430" i="3"/>
  <c r="H429" i="3"/>
  <c r="H428" i="3"/>
  <c r="H427" i="3"/>
  <c r="H426" i="3"/>
  <c r="H425" i="3"/>
  <c r="H424" i="3"/>
  <c r="H423" i="3"/>
  <c r="H422" i="3"/>
  <c r="H421" i="3"/>
  <c r="H420" i="3"/>
  <c r="H419" i="3"/>
  <c r="H418" i="3"/>
  <c r="H417" i="3"/>
  <c r="H416" i="3"/>
  <c r="H415" i="3"/>
  <c r="H414" i="3"/>
  <c r="H413" i="3"/>
  <c r="H412" i="3"/>
  <c r="H411" i="3"/>
  <c r="H410" i="3"/>
  <c r="H409" i="3"/>
  <c r="H408" i="3"/>
  <c r="H407" i="3"/>
  <c r="H406" i="3"/>
  <c r="H405" i="3"/>
  <c r="H404" i="3"/>
  <c r="H403" i="3"/>
  <c r="H402" i="3"/>
  <c r="H401" i="3"/>
  <c r="H400" i="3"/>
  <c r="H399" i="3"/>
  <c r="H398" i="3"/>
  <c r="H397" i="3"/>
  <c r="H396" i="3"/>
  <c r="H395" i="3"/>
  <c r="H394" i="3"/>
  <c r="H393" i="3"/>
  <c r="H392" i="3"/>
  <c r="H391" i="3"/>
  <c r="H390" i="3"/>
  <c r="H389" i="3"/>
  <c r="H388" i="3"/>
  <c r="H387" i="3"/>
  <c r="H386" i="3"/>
  <c r="H385" i="3"/>
  <c r="H384" i="3"/>
  <c r="H383" i="3"/>
  <c r="H382" i="3"/>
  <c r="H381" i="3"/>
  <c r="H380" i="3"/>
  <c r="H379" i="3"/>
  <c r="H378" i="3"/>
  <c r="H377" i="3"/>
  <c r="H376" i="3"/>
  <c r="H375" i="3"/>
  <c r="H374" i="3"/>
  <c r="H373" i="3"/>
  <c r="H372" i="3"/>
  <c r="H371" i="3"/>
  <c r="H370" i="3"/>
  <c r="H369" i="3"/>
  <c r="H368" i="3"/>
  <c r="H367" i="3"/>
  <c r="H366" i="3"/>
  <c r="H365" i="3"/>
  <c r="H364" i="3"/>
  <c r="H363" i="3"/>
  <c r="H362" i="3"/>
  <c r="H361" i="3"/>
  <c r="H360" i="3"/>
  <c r="H359" i="3"/>
  <c r="H358" i="3"/>
  <c r="H357" i="3"/>
  <c r="H356" i="3"/>
  <c r="H355" i="3"/>
  <c r="H354" i="3"/>
  <c r="H353" i="3"/>
  <c r="H352" i="3"/>
  <c r="H351" i="3"/>
  <c r="H350" i="3"/>
  <c r="H349" i="3"/>
  <c r="H348" i="3"/>
  <c r="H347" i="3"/>
  <c r="H346" i="3"/>
  <c r="H345" i="3"/>
  <c r="H344" i="3"/>
  <c r="H343" i="3"/>
  <c r="H342" i="3"/>
  <c r="H341" i="3"/>
  <c r="H340" i="3"/>
  <c r="H339" i="3"/>
  <c r="H338" i="3"/>
  <c r="H337" i="3"/>
  <c r="H336" i="3"/>
  <c r="H335" i="3"/>
  <c r="H334" i="3"/>
  <c r="H333" i="3"/>
  <c r="H332" i="3"/>
  <c r="H331" i="3"/>
  <c r="H330" i="3"/>
  <c r="H329" i="3"/>
  <c r="H328" i="3"/>
  <c r="H327" i="3"/>
  <c r="H326" i="3"/>
  <c r="H325" i="3"/>
  <c r="H324" i="3"/>
  <c r="H323" i="3"/>
  <c r="H322" i="3"/>
  <c r="H321" i="3"/>
  <c r="H320" i="3"/>
  <c r="H319" i="3"/>
  <c r="H318" i="3"/>
  <c r="H317" i="3"/>
  <c r="H316" i="3"/>
  <c r="H315" i="3"/>
  <c r="H314" i="3"/>
  <c r="H313" i="3"/>
  <c r="H312" i="3"/>
  <c r="H311" i="3"/>
  <c r="H310" i="3"/>
  <c r="H309" i="3"/>
  <c r="H308" i="3"/>
  <c r="H307" i="3"/>
  <c r="H306" i="3"/>
  <c r="H305" i="3"/>
  <c r="H304" i="3"/>
  <c r="H303" i="3"/>
  <c r="H302" i="3"/>
  <c r="H301" i="3"/>
  <c r="H300" i="3"/>
  <c r="H299" i="3"/>
  <c r="H298" i="3"/>
  <c r="H297" i="3"/>
  <c r="H296" i="3"/>
  <c r="H295" i="3"/>
  <c r="H294" i="3"/>
  <c r="H293" i="3"/>
  <c r="H292" i="3"/>
  <c r="H291" i="3"/>
  <c r="H290" i="3"/>
  <c r="H289" i="3"/>
  <c r="H288" i="3"/>
  <c r="H287" i="3"/>
  <c r="H286" i="3"/>
  <c r="H285" i="3"/>
  <c r="H284" i="3"/>
  <c r="H283" i="3"/>
  <c r="H282" i="3"/>
  <c r="H281" i="3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49" i="3"/>
  <c r="H248" i="3"/>
  <c r="H247" i="3"/>
  <c r="H246" i="3"/>
  <c r="H245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3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Q1" i="2"/>
  <c r="K163" i="2" s="1"/>
  <c r="U517" i="2"/>
  <c r="U516" i="2"/>
  <c r="U515" i="2"/>
  <c r="U514" i="2"/>
  <c r="U513" i="2"/>
  <c r="U512" i="2"/>
  <c r="T517" i="2"/>
  <c r="T516" i="2"/>
  <c r="T515" i="2"/>
  <c r="T514" i="2"/>
  <c r="T513" i="2"/>
  <c r="T512" i="2"/>
  <c r="F612" i="3"/>
  <c r="E612" i="3"/>
  <c r="F611" i="3"/>
  <c r="E611" i="3"/>
  <c r="E3" i="3"/>
  <c r="F3" i="3"/>
  <c r="E4" i="3"/>
  <c r="F4" i="3"/>
  <c r="F231" i="3"/>
  <c r="E231" i="3"/>
  <c r="E229" i="3"/>
  <c r="F229" i="3"/>
  <c r="E230" i="3"/>
  <c r="F230" i="3"/>
  <c r="F228" i="3"/>
  <c r="E228" i="3"/>
  <c r="E227" i="3"/>
  <c r="F227" i="3"/>
  <c r="F226" i="3"/>
  <c r="E226" i="3"/>
  <c r="F225" i="3"/>
  <c r="E225" i="3"/>
  <c r="F221" i="3"/>
  <c r="E221" i="3"/>
  <c r="E220" i="3"/>
  <c r="F220" i="3"/>
  <c r="F219" i="3"/>
  <c r="E219" i="3"/>
  <c r="E218" i="3"/>
  <c r="F218" i="3"/>
  <c r="F217" i="3"/>
  <c r="E217" i="3"/>
  <c r="F216" i="3"/>
  <c r="E216" i="3"/>
  <c r="F215" i="3"/>
  <c r="E215" i="3"/>
  <c r="F214" i="3"/>
  <c r="E214" i="3"/>
  <c r="F212" i="3"/>
  <c r="E212" i="3"/>
  <c r="F213" i="3"/>
  <c r="E213" i="3"/>
  <c r="E211" i="3"/>
  <c r="F211" i="3"/>
  <c r="F210" i="3"/>
  <c r="E210" i="3"/>
  <c r="E209" i="3"/>
  <c r="F209" i="3"/>
  <c r="F208" i="3"/>
  <c r="E208" i="3"/>
  <c r="F203" i="3"/>
  <c r="E203" i="3"/>
  <c r="F435" i="3"/>
  <c r="E435" i="3"/>
  <c r="F434" i="3"/>
  <c r="E434" i="3"/>
  <c r="F204" i="3"/>
  <c r="E204" i="3"/>
  <c r="F205" i="3"/>
  <c r="E205" i="3"/>
  <c r="F206" i="3"/>
  <c r="E206" i="3"/>
  <c r="F207" i="3"/>
  <c r="E207" i="3"/>
  <c r="F202" i="3"/>
  <c r="E202" i="3"/>
  <c r="F610" i="3"/>
  <c r="E610" i="3"/>
  <c r="F609" i="3"/>
  <c r="E609" i="3"/>
  <c r="F608" i="3"/>
  <c r="E608" i="3"/>
  <c r="F607" i="3"/>
  <c r="E607" i="3"/>
  <c r="F606" i="3"/>
  <c r="E606" i="3"/>
  <c r="F605" i="3"/>
  <c r="E605" i="3"/>
  <c r="F601" i="3"/>
  <c r="E601" i="3"/>
  <c r="F602" i="3"/>
  <c r="E602" i="3"/>
  <c r="F603" i="3"/>
  <c r="E603" i="3"/>
  <c r="F599" i="3"/>
  <c r="E599" i="3"/>
  <c r="F600" i="3"/>
  <c r="E600" i="3"/>
  <c r="F598" i="3"/>
  <c r="E598" i="3"/>
  <c r="F597" i="3"/>
  <c r="E597" i="3"/>
  <c r="F596" i="3"/>
  <c r="E596" i="3"/>
  <c r="F595" i="3"/>
  <c r="E595" i="3"/>
  <c r="F593" i="3"/>
  <c r="E593" i="3"/>
  <c r="E592" i="3"/>
  <c r="F592" i="3"/>
  <c r="F591" i="3"/>
  <c r="E591" i="3"/>
  <c r="F587" i="3"/>
  <c r="E587" i="3"/>
  <c r="F589" i="3"/>
  <c r="E589" i="3"/>
  <c r="F588" i="3"/>
  <c r="E588" i="3"/>
  <c r="F590" i="3"/>
  <c r="E590" i="3"/>
  <c r="F586" i="3"/>
  <c r="E586" i="3"/>
  <c r="E585" i="3"/>
  <c r="F585" i="3"/>
  <c r="E584" i="3"/>
  <c r="F584" i="3"/>
  <c r="E583" i="3"/>
  <c r="F583" i="3"/>
  <c r="F582" i="3"/>
  <c r="E582" i="3"/>
  <c r="E581" i="3"/>
  <c r="F581" i="3"/>
  <c r="F580" i="3"/>
  <c r="E580" i="3"/>
  <c r="F578" i="3"/>
  <c r="E578" i="3"/>
  <c r="F579" i="3"/>
  <c r="E579" i="3"/>
  <c r="F573" i="3"/>
  <c r="E573" i="3"/>
  <c r="F572" i="3"/>
  <c r="E572" i="3"/>
  <c r="E569" i="3"/>
  <c r="F569" i="3"/>
  <c r="F568" i="3"/>
  <c r="E568" i="3"/>
  <c r="F570" i="3"/>
  <c r="E570" i="3"/>
  <c r="F571" i="3"/>
  <c r="E571" i="3"/>
  <c r="F577" i="3"/>
  <c r="E577" i="3"/>
  <c r="F576" i="3"/>
  <c r="E576" i="3"/>
  <c r="F575" i="3"/>
  <c r="E575" i="3"/>
  <c r="F574" i="3"/>
  <c r="E574" i="3"/>
  <c r="F613" i="3"/>
  <c r="E613" i="3"/>
  <c r="F567" i="3"/>
  <c r="E567" i="3"/>
  <c r="E566" i="3"/>
  <c r="F566" i="3"/>
  <c r="F565" i="3"/>
  <c r="E565" i="3"/>
  <c r="F564" i="3"/>
  <c r="E564" i="3"/>
  <c r="F563" i="3"/>
  <c r="E563" i="3"/>
  <c r="F562" i="3"/>
  <c r="E562" i="3"/>
  <c r="F560" i="3"/>
  <c r="E560" i="3"/>
  <c r="F558" i="3"/>
  <c r="E558" i="3"/>
  <c r="F559" i="3"/>
  <c r="E559" i="3"/>
  <c r="F557" i="3"/>
  <c r="E557" i="3"/>
  <c r="F556" i="3"/>
  <c r="E556" i="3"/>
  <c r="F554" i="3"/>
  <c r="E554" i="3"/>
  <c r="F553" i="3"/>
  <c r="E553" i="3"/>
  <c r="F555" i="3"/>
  <c r="E555" i="3"/>
  <c r="E552" i="3"/>
  <c r="F552" i="3"/>
  <c r="F551" i="3"/>
  <c r="E551" i="3"/>
  <c r="E550" i="3"/>
  <c r="F550" i="3"/>
  <c r="F549" i="3"/>
  <c r="E549" i="3"/>
  <c r="J462" i="2"/>
  <c r="F548" i="3"/>
  <c r="E548" i="3"/>
  <c r="F545" i="3"/>
  <c r="E545" i="3"/>
  <c r="F546" i="3"/>
  <c r="E546" i="3"/>
  <c r="F547" i="3"/>
  <c r="E547" i="3"/>
  <c r="J459" i="2"/>
  <c r="F543" i="3"/>
  <c r="E543" i="3"/>
  <c r="E477" i="3"/>
  <c r="F477" i="3"/>
  <c r="F476" i="3"/>
  <c r="E476" i="3"/>
  <c r="J394" i="2"/>
  <c r="E470" i="3"/>
  <c r="E471" i="3"/>
  <c r="E472" i="3"/>
  <c r="F471" i="3"/>
  <c r="F472" i="3"/>
  <c r="F470" i="3"/>
  <c r="J388" i="2"/>
  <c r="J389" i="2"/>
  <c r="E475" i="3"/>
  <c r="F475" i="3"/>
  <c r="F474" i="3"/>
  <c r="E474" i="3"/>
  <c r="J392" i="2"/>
  <c r="F469" i="3"/>
  <c r="E469" i="3"/>
  <c r="F468" i="3"/>
  <c r="E468" i="3"/>
  <c r="F467" i="3"/>
  <c r="E467" i="3"/>
  <c r="E465" i="3"/>
  <c r="F465" i="3"/>
  <c r="F464" i="3"/>
  <c r="E464" i="3"/>
  <c r="F466" i="3"/>
  <c r="E466" i="3"/>
  <c r="J383" i="2"/>
  <c r="J378" i="2"/>
  <c r="J379" i="2"/>
  <c r="J380" i="2"/>
  <c r="J381" i="2"/>
  <c r="F461" i="3"/>
  <c r="E461" i="3"/>
  <c r="F463" i="3"/>
  <c r="E463" i="3"/>
  <c r="F462" i="3"/>
  <c r="E462" i="3"/>
  <c r="J375" i="2"/>
  <c r="J376" i="2"/>
  <c r="J377" i="2"/>
  <c r="F460" i="3"/>
  <c r="E460" i="3"/>
  <c r="F459" i="3"/>
  <c r="E459" i="3"/>
  <c r="J373" i="2"/>
  <c r="J374" i="2"/>
  <c r="F458" i="3"/>
  <c r="E458" i="3"/>
  <c r="F457" i="3"/>
  <c r="E457" i="3"/>
  <c r="F456" i="3"/>
  <c r="E456" i="3"/>
  <c r="F455" i="3"/>
  <c r="E455" i="3"/>
  <c r="F453" i="3"/>
  <c r="E453" i="3"/>
  <c r="F452" i="3"/>
  <c r="E452" i="3"/>
  <c r="E454" i="3"/>
  <c r="F454" i="3"/>
  <c r="F451" i="3"/>
  <c r="E451" i="3"/>
  <c r="J368" i="2"/>
  <c r="J369" i="2"/>
  <c r="J370" i="2"/>
  <c r="J371" i="2"/>
  <c r="J372" i="2"/>
  <c r="E450" i="3"/>
  <c r="F450" i="3"/>
  <c r="F449" i="3"/>
  <c r="E449" i="3"/>
  <c r="J366" i="2"/>
  <c r="E447" i="3"/>
  <c r="F447" i="3"/>
  <c r="F448" i="3"/>
  <c r="E448" i="3"/>
  <c r="F446" i="3"/>
  <c r="E446" i="3"/>
  <c r="J364" i="2"/>
  <c r="F445" i="3"/>
  <c r="E445" i="3"/>
  <c r="F541" i="3"/>
  <c r="E541" i="3"/>
  <c r="F540" i="3"/>
  <c r="E540" i="3"/>
  <c r="F542" i="3"/>
  <c r="E542" i="3"/>
  <c r="J455" i="2"/>
  <c r="E443" i="3"/>
  <c r="F443" i="3"/>
  <c r="E444" i="3"/>
  <c r="F444" i="3"/>
  <c r="F442" i="3"/>
  <c r="E442" i="3"/>
  <c r="J360" i="2"/>
  <c r="J361" i="2"/>
  <c r="F538" i="3"/>
  <c r="E538" i="3"/>
  <c r="F544" i="3"/>
  <c r="E544" i="3"/>
  <c r="F539" i="3"/>
  <c r="E539" i="3"/>
  <c r="J453" i="2"/>
  <c r="F537" i="3"/>
  <c r="E537" i="3"/>
  <c r="F536" i="3"/>
  <c r="E536" i="3"/>
  <c r="E223" i="3"/>
  <c r="F223" i="3"/>
  <c r="E224" i="3"/>
  <c r="F224" i="3"/>
  <c r="F222" i="3"/>
  <c r="E222" i="3"/>
  <c r="F534" i="3"/>
  <c r="E534" i="3"/>
  <c r="F533" i="3"/>
  <c r="E533" i="3"/>
  <c r="F535" i="3"/>
  <c r="E535" i="3"/>
  <c r="J449" i="2"/>
  <c r="J450" i="2"/>
  <c r="F532" i="3"/>
  <c r="E532" i="3"/>
  <c r="F473" i="3"/>
  <c r="E473" i="3"/>
  <c r="F561" i="3"/>
  <c r="E561" i="3"/>
  <c r="E530" i="3"/>
  <c r="F530" i="3"/>
  <c r="E531" i="3"/>
  <c r="F531" i="3"/>
  <c r="F529" i="3"/>
  <c r="E529" i="3"/>
  <c r="J446" i="2"/>
  <c r="J447" i="2"/>
  <c r="F528" i="3"/>
  <c r="E528" i="3"/>
  <c r="F527" i="3"/>
  <c r="E527" i="3"/>
  <c r="J444" i="2"/>
  <c r="F526" i="3"/>
  <c r="E526" i="3"/>
  <c r="E516" i="3"/>
  <c r="F516" i="3"/>
  <c r="E517" i="3"/>
  <c r="F517" i="3"/>
  <c r="E518" i="3"/>
  <c r="F518" i="3"/>
  <c r="E519" i="3"/>
  <c r="F519" i="3"/>
  <c r="E520" i="3"/>
  <c r="F520" i="3"/>
  <c r="J433" i="2"/>
  <c r="J434" i="2"/>
  <c r="J435" i="2"/>
  <c r="J436" i="2"/>
  <c r="J437" i="2"/>
  <c r="F515" i="3"/>
  <c r="E515" i="3"/>
  <c r="F525" i="3"/>
  <c r="E525" i="3"/>
  <c r="F524" i="3"/>
  <c r="E524" i="3"/>
  <c r="F523" i="3"/>
  <c r="E523" i="3"/>
  <c r="F522" i="3"/>
  <c r="E522" i="3"/>
  <c r="F521" i="3"/>
  <c r="E521" i="3"/>
  <c r="E513" i="3"/>
  <c r="F513" i="3"/>
  <c r="F514" i="3"/>
  <c r="E514" i="3"/>
  <c r="J431" i="2"/>
  <c r="J430" i="2"/>
  <c r="F512" i="3"/>
  <c r="E512" i="3"/>
  <c r="E511" i="3"/>
  <c r="F511" i="3"/>
  <c r="F510" i="3"/>
  <c r="E510" i="3"/>
  <c r="J428" i="2"/>
  <c r="F509" i="3"/>
  <c r="E509" i="3"/>
  <c r="E507" i="3"/>
  <c r="F507" i="3"/>
  <c r="E508" i="3"/>
  <c r="F508" i="3"/>
  <c r="F506" i="3"/>
  <c r="E506" i="3"/>
  <c r="J424" i="2"/>
  <c r="J425" i="2"/>
  <c r="F505" i="3"/>
  <c r="E505" i="3"/>
  <c r="E501" i="3"/>
  <c r="F501" i="3"/>
  <c r="E502" i="3"/>
  <c r="F502" i="3"/>
  <c r="E503" i="3"/>
  <c r="F503" i="3"/>
  <c r="E504" i="3"/>
  <c r="F504" i="3"/>
  <c r="F500" i="3"/>
  <c r="E500" i="3"/>
  <c r="J418" i="2"/>
  <c r="J419" i="2"/>
  <c r="J420" i="2"/>
  <c r="J421" i="2"/>
  <c r="E493" i="3"/>
  <c r="F493" i="3"/>
  <c r="E494" i="3"/>
  <c r="F494" i="3"/>
  <c r="E495" i="3"/>
  <c r="F495" i="3"/>
  <c r="E496" i="3"/>
  <c r="F496" i="3"/>
  <c r="F492" i="3"/>
  <c r="E492" i="3"/>
  <c r="J410" i="2"/>
  <c r="J411" i="2"/>
  <c r="J412" i="2"/>
  <c r="J413" i="2"/>
  <c r="E488" i="3"/>
  <c r="F488" i="3"/>
  <c r="E489" i="3"/>
  <c r="F489" i="3"/>
  <c r="E490" i="3"/>
  <c r="F490" i="3"/>
  <c r="E491" i="3"/>
  <c r="F491" i="3"/>
  <c r="J405" i="2"/>
  <c r="J406" i="2"/>
  <c r="J407" i="2"/>
  <c r="J408" i="2"/>
  <c r="F487" i="3"/>
  <c r="E487" i="3"/>
  <c r="E486" i="3"/>
  <c r="F486" i="3"/>
  <c r="F485" i="3"/>
  <c r="E485" i="3"/>
  <c r="J403" i="2"/>
  <c r="F497" i="3"/>
  <c r="E497" i="3"/>
  <c r="F484" i="3"/>
  <c r="E484" i="3"/>
  <c r="F483" i="3"/>
  <c r="E483" i="3"/>
  <c r="F482" i="3"/>
  <c r="E482" i="3"/>
  <c r="E499" i="3"/>
  <c r="F499" i="3"/>
  <c r="F498" i="3"/>
  <c r="E498" i="3"/>
  <c r="E481" i="3"/>
  <c r="F481" i="3"/>
  <c r="J398" i="2"/>
  <c r="F480" i="3"/>
  <c r="E480" i="3"/>
  <c r="E479" i="3"/>
  <c r="F479" i="3"/>
  <c r="F478" i="3"/>
  <c r="E478" i="3"/>
  <c r="F441" i="3"/>
  <c r="E441" i="3"/>
  <c r="F440" i="3"/>
  <c r="E440" i="3"/>
  <c r="F439" i="3"/>
  <c r="E439" i="3"/>
  <c r="F438" i="3"/>
  <c r="F437" i="3"/>
  <c r="F436" i="3"/>
  <c r="E438" i="3"/>
  <c r="E437" i="3"/>
  <c r="E436" i="3"/>
  <c r="E431" i="3"/>
  <c r="F431" i="3"/>
  <c r="E432" i="3"/>
  <c r="F432" i="3"/>
  <c r="E433" i="3"/>
  <c r="F433" i="3"/>
  <c r="F430" i="3"/>
  <c r="E430" i="3"/>
  <c r="J350" i="2"/>
  <c r="J351" i="2"/>
  <c r="J352" i="2"/>
  <c r="F427" i="3"/>
  <c r="E427" i="3"/>
  <c r="F426" i="3"/>
  <c r="E426" i="3"/>
  <c r="F425" i="3"/>
  <c r="E425" i="3"/>
  <c r="F428" i="3"/>
  <c r="E428" i="3"/>
  <c r="F429" i="3"/>
  <c r="E429" i="3"/>
  <c r="J346" i="2"/>
  <c r="J347" i="2"/>
  <c r="J348" i="2"/>
  <c r="F424" i="3"/>
  <c r="E424" i="3"/>
  <c r="F423" i="3"/>
  <c r="E423" i="3"/>
  <c r="F422" i="3"/>
  <c r="E422" i="3"/>
  <c r="F418" i="3"/>
  <c r="E418" i="3"/>
  <c r="F420" i="3"/>
  <c r="E420" i="3"/>
  <c r="F421" i="3"/>
  <c r="E421" i="3"/>
  <c r="F419" i="3"/>
  <c r="E419" i="3"/>
  <c r="J340" i="2"/>
  <c r="J341" i="2"/>
  <c r="J342" i="2"/>
  <c r="F417" i="3"/>
  <c r="E417" i="3"/>
  <c r="F416" i="3"/>
  <c r="E416" i="3"/>
  <c r="E413" i="3"/>
  <c r="F413" i="3"/>
  <c r="E414" i="3"/>
  <c r="F414" i="3"/>
  <c r="E415" i="3"/>
  <c r="F415" i="3"/>
  <c r="F412" i="3"/>
  <c r="E412" i="3"/>
  <c r="J336" i="2"/>
  <c r="J334" i="2"/>
  <c r="J335" i="2"/>
  <c r="F411" i="3"/>
  <c r="E411" i="3"/>
  <c r="F410" i="3"/>
  <c r="E410" i="3"/>
  <c r="F409" i="3"/>
  <c r="E409" i="3"/>
  <c r="F408" i="3"/>
  <c r="E408" i="3"/>
  <c r="F406" i="3"/>
  <c r="E406" i="3"/>
  <c r="F407" i="3"/>
  <c r="E407" i="3"/>
  <c r="J328" i="2"/>
  <c r="F404" i="3"/>
  <c r="E404" i="3"/>
  <c r="F405" i="3"/>
  <c r="E405" i="3"/>
  <c r="F403" i="3"/>
  <c r="E403" i="3"/>
  <c r="E401" i="3"/>
  <c r="F401" i="3"/>
  <c r="E402" i="3"/>
  <c r="F402" i="3"/>
  <c r="F400" i="3"/>
  <c r="E400" i="3"/>
  <c r="J325" i="2"/>
  <c r="J326" i="2"/>
  <c r="J324" i="2"/>
  <c r="F399" i="3"/>
  <c r="E399" i="3"/>
  <c r="E398" i="3"/>
  <c r="F398" i="3"/>
  <c r="F397" i="3"/>
  <c r="E397" i="3"/>
  <c r="J321" i="2"/>
  <c r="E396" i="3"/>
  <c r="F396" i="3"/>
  <c r="J319" i="2"/>
  <c r="F395" i="3"/>
  <c r="E395" i="3"/>
  <c r="E394" i="3"/>
  <c r="F394" i="3"/>
  <c r="F393" i="3"/>
  <c r="E393" i="3"/>
  <c r="J317" i="2"/>
  <c r="F392" i="3"/>
  <c r="E392" i="3"/>
  <c r="E391" i="3"/>
  <c r="F391" i="3"/>
  <c r="J314" i="2"/>
  <c r="F390" i="3"/>
  <c r="E390" i="3"/>
  <c r="F389" i="3"/>
  <c r="E389" i="3"/>
  <c r="F388" i="3"/>
  <c r="E388" i="3"/>
  <c r="E386" i="3"/>
  <c r="F386" i="3"/>
  <c r="E387" i="3"/>
  <c r="F387" i="3"/>
  <c r="F385" i="3"/>
  <c r="E385" i="3"/>
  <c r="J309" i="2"/>
  <c r="J310" i="2"/>
  <c r="E384" i="3"/>
  <c r="F384" i="3"/>
  <c r="J307" i="2"/>
  <c r="F383" i="3"/>
  <c r="E383" i="3"/>
  <c r="F381" i="3"/>
  <c r="E381" i="3"/>
  <c r="F382" i="3"/>
  <c r="E382" i="3"/>
  <c r="E380" i="3"/>
  <c r="F380" i="3"/>
  <c r="F379" i="3"/>
  <c r="E379" i="3"/>
  <c r="J303" i="2"/>
  <c r="J304" i="2"/>
  <c r="E378" i="3"/>
  <c r="F378" i="3"/>
  <c r="F377" i="3"/>
  <c r="E377" i="3"/>
  <c r="J301" i="2"/>
  <c r="F376" i="3"/>
  <c r="E376" i="3"/>
  <c r="E373" i="3"/>
  <c r="F373" i="3"/>
  <c r="F374" i="3"/>
  <c r="E374" i="3"/>
  <c r="J297" i="2"/>
  <c r="F375" i="3"/>
  <c r="E375" i="3"/>
  <c r="E372" i="3"/>
  <c r="F372" i="3"/>
  <c r="F371" i="3"/>
  <c r="E371" i="3"/>
  <c r="J296" i="2"/>
  <c r="J298" i="2"/>
  <c r="F370" i="3"/>
  <c r="E370" i="3"/>
  <c r="E351" i="3"/>
  <c r="F351" i="3"/>
  <c r="F349" i="3"/>
  <c r="E349" i="3"/>
  <c r="E350" i="3"/>
  <c r="F350" i="3"/>
  <c r="F369" i="3"/>
  <c r="E369" i="3"/>
  <c r="F368" i="3"/>
  <c r="E368" i="3"/>
  <c r="F367" i="3"/>
  <c r="E367" i="3"/>
  <c r="F366" i="3"/>
  <c r="E366" i="3"/>
  <c r="F365" i="3"/>
  <c r="E365" i="3"/>
  <c r="F364" i="3"/>
  <c r="E364" i="3"/>
  <c r="F363" i="3"/>
  <c r="E363" i="3"/>
  <c r="F362" i="3"/>
  <c r="E362" i="3"/>
  <c r="F361" i="3"/>
  <c r="E361" i="3"/>
  <c r="F360" i="3"/>
  <c r="E360" i="3"/>
  <c r="F359" i="3"/>
  <c r="E359" i="3"/>
  <c r="J285" i="2"/>
  <c r="E358" i="3"/>
  <c r="F358" i="3"/>
  <c r="F356" i="3"/>
  <c r="E356" i="3"/>
  <c r="F357" i="3"/>
  <c r="E357" i="3"/>
  <c r="F355" i="3"/>
  <c r="E355" i="3"/>
  <c r="J280" i="2"/>
  <c r="J282" i="2"/>
  <c r="J283" i="2"/>
  <c r="F354" i="3"/>
  <c r="E354" i="3"/>
  <c r="F353" i="3"/>
  <c r="E353" i="3"/>
  <c r="F352" i="3"/>
  <c r="E352" i="3"/>
  <c r="J277" i="2"/>
  <c r="F343" i="3"/>
  <c r="E343" i="3"/>
  <c r="F344" i="3"/>
  <c r="E344" i="3"/>
  <c r="F342" i="3"/>
  <c r="E342" i="3"/>
  <c r="F345" i="3"/>
  <c r="E345" i="3"/>
  <c r="F347" i="3"/>
  <c r="E347" i="3"/>
  <c r="F348" i="3"/>
  <c r="E348" i="3"/>
  <c r="J272" i="2"/>
  <c r="J273" i="2"/>
  <c r="J274" i="2"/>
  <c r="J275" i="2"/>
  <c r="F341" i="3"/>
  <c r="E341" i="3"/>
  <c r="J269" i="2"/>
  <c r="J270" i="2"/>
  <c r="F334" i="3"/>
  <c r="E334" i="3"/>
  <c r="F333" i="3"/>
  <c r="E333" i="3"/>
  <c r="F335" i="3"/>
  <c r="E335" i="3"/>
  <c r="F336" i="3"/>
  <c r="E336" i="3"/>
  <c r="F337" i="3"/>
  <c r="E337" i="3"/>
  <c r="F338" i="3"/>
  <c r="E338" i="3"/>
  <c r="J266" i="2"/>
  <c r="J267" i="2"/>
  <c r="F332" i="3"/>
  <c r="E332" i="3"/>
  <c r="E331" i="3"/>
  <c r="F331" i="3"/>
  <c r="F330" i="3"/>
  <c r="E330" i="3"/>
  <c r="J264" i="2"/>
  <c r="E328" i="3"/>
  <c r="F328" i="3"/>
  <c r="E329" i="3"/>
  <c r="F329" i="3"/>
  <c r="E327" i="3"/>
  <c r="F327" i="3"/>
  <c r="F326" i="3"/>
  <c r="E326" i="3"/>
  <c r="J261" i="2"/>
  <c r="J262" i="2"/>
  <c r="F323" i="3"/>
  <c r="E323" i="3"/>
  <c r="F324" i="3"/>
  <c r="E324" i="3"/>
  <c r="F325" i="3"/>
  <c r="E325" i="3"/>
  <c r="J259" i="2"/>
  <c r="F321" i="3"/>
  <c r="E321" i="3"/>
  <c r="F320" i="3"/>
  <c r="E320" i="3"/>
  <c r="F322" i="3"/>
  <c r="E322" i="3"/>
  <c r="J257" i="2"/>
  <c r="F318" i="3"/>
  <c r="E318" i="3"/>
  <c r="F319" i="3"/>
  <c r="E319" i="3"/>
  <c r="F317" i="3"/>
  <c r="E317" i="3"/>
  <c r="F316" i="3"/>
  <c r="E316" i="3"/>
  <c r="F315" i="3"/>
  <c r="E315" i="3"/>
  <c r="F314" i="3"/>
  <c r="E314" i="3"/>
  <c r="F312" i="3"/>
  <c r="E312" i="3"/>
  <c r="F313" i="3"/>
  <c r="E313" i="3"/>
  <c r="F311" i="3"/>
  <c r="E311" i="3"/>
  <c r="J253" i="2"/>
  <c r="J251" i="2"/>
  <c r="J252" i="2"/>
  <c r="J250" i="2"/>
  <c r="J254" i="2"/>
  <c r="J255" i="2"/>
  <c r="F309" i="3"/>
  <c r="E309" i="3"/>
  <c r="F310" i="3"/>
  <c r="E310" i="3"/>
  <c r="F302" i="3"/>
  <c r="E302" i="3"/>
  <c r="F303" i="3"/>
  <c r="E303" i="3"/>
  <c r="F305" i="3"/>
  <c r="E305" i="3"/>
  <c r="F304" i="3"/>
  <c r="E304" i="3"/>
  <c r="F306" i="3"/>
  <c r="E306" i="3"/>
  <c r="F307" i="3"/>
  <c r="E307" i="3"/>
  <c r="F308" i="3"/>
  <c r="E308" i="3"/>
  <c r="E301" i="3"/>
  <c r="F301" i="3"/>
  <c r="F300" i="3"/>
  <c r="E300" i="3"/>
  <c r="F299" i="3"/>
  <c r="E299" i="3"/>
  <c r="J246" i="2"/>
  <c r="J247" i="2"/>
  <c r="F298" i="3"/>
  <c r="E298" i="3"/>
  <c r="F297" i="3"/>
  <c r="E297" i="3"/>
  <c r="F296" i="3"/>
  <c r="E296" i="3"/>
  <c r="E294" i="3"/>
  <c r="F294" i="3"/>
  <c r="E295" i="3"/>
  <c r="F295" i="3"/>
  <c r="F293" i="3"/>
  <c r="E293" i="3"/>
  <c r="J240" i="2"/>
  <c r="J241" i="2"/>
  <c r="F290" i="3"/>
  <c r="E290" i="3"/>
  <c r="F291" i="3"/>
  <c r="E291" i="3"/>
  <c r="F292" i="3"/>
  <c r="E292" i="3"/>
  <c r="J237" i="2"/>
  <c r="J238" i="2"/>
  <c r="F289" i="3"/>
  <c r="E289" i="3"/>
  <c r="E288" i="3"/>
  <c r="F288" i="3"/>
  <c r="E286" i="3"/>
  <c r="F286" i="3"/>
  <c r="F287" i="3"/>
  <c r="E287" i="3"/>
  <c r="F285" i="3"/>
  <c r="E285" i="3"/>
  <c r="J235" i="2"/>
  <c r="F283" i="3"/>
  <c r="E283" i="3"/>
  <c r="F284" i="3"/>
  <c r="E284" i="3"/>
  <c r="J234" i="2"/>
  <c r="F281" i="3"/>
  <c r="E281" i="3"/>
  <c r="F282" i="3"/>
  <c r="E282" i="3"/>
  <c r="E280" i="3"/>
  <c r="F280" i="3"/>
  <c r="J230" i="2"/>
  <c r="E278" i="3"/>
  <c r="F278" i="3"/>
  <c r="E279" i="3"/>
  <c r="F279" i="3"/>
  <c r="J228" i="2"/>
  <c r="J229" i="2"/>
  <c r="F277" i="3"/>
  <c r="E277" i="3"/>
  <c r="E275" i="3"/>
  <c r="F275" i="3"/>
  <c r="E276" i="3"/>
  <c r="F276" i="3"/>
  <c r="F274" i="3"/>
  <c r="E274" i="3"/>
  <c r="E273" i="3"/>
  <c r="F273" i="3"/>
  <c r="F272" i="3"/>
  <c r="E272" i="3"/>
  <c r="E271" i="3"/>
  <c r="F271" i="3"/>
  <c r="F270" i="3"/>
  <c r="E270" i="3"/>
  <c r="J223" i="2"/>
  <c r="J222" i="2"/>
  <c r="E269" i="3"/>
  <c r="F269" i="3"/>
  <c r="F268" i="3"/>
  <c r="E268" i="3"/>
  <c r="J220" i="2"/>
  <c r="E267" i="3"/>
  <c r="F267" i="3"/>
  <c r="F266" i="3"/>
  <c r="E266" i="3"/>
  <c r="J218" i="2"/>
  <c r="F265" i="3"/>
  <c r="E265" i="3"/>
  <c r="F264" i="3"/>
  <c r="E264" i="3"/>
  <c r="E262" i="3"/>
  <c r="F262" i="3"/>
  <c r="F261" i="3"/>
  <c r="E261" i="3"/>
  <c r="J215" i="2"/>
  <c r="J216" i="2"/>
  <c r="E255" i="3"/>
  <c r="F255" i="3"/>
  <c r="F254" i="3"/>
  <c r="E254" i="3"/>
  <c r="F256" i="3"/>
  <c r="E256" i="3"/>
  <c r="F257" i="3"/>
  <c r="E257" i="3"/>
  <c r="F258" i="3"/>
  <c r="E258" i="3"/>
  <c r="E260" i="3"/>
  <c r="F260" i="3"/>
  <c r="F259" i="3"/>
  <c r="E259" i="3"/>
  <c r="F253" i="3"/>
  <c r="E253" i="3"/>
  <c r="J209" i="2"/>
  <c r="J210" i="2"/>
  <c r="J211" i="2"/>
  <c r="J212" i="2"/>
  <c r="J213" i="2"/>
  <c r="E252" i="3"/>
  <c r="F251" i="3"/>
  <c r="E251" i="3"/>
  <c r="F252" i="3"/>
  <c r="J207" i="2"/>
  <c r="E250" i="3"/>
  <c r="F250" i="3"/>
  <c r="F249" i="3"/>
  <c r="E249" i="3"/>
  <c r="J206" i="2"/>
  <c r="E247" i="3"/>
  <c r="F247" i="3"/>
  <c r="E248" i="3"/>
  <c r="F248" i="3"/>
  <c r="F246" i="3"/>
  <c r="E246" i="3"/>
  <c r="J203" i="2"/>
  <c r="J204" i="2"/>
  <c r="F245" i="3"/>
  <c r="E245" i="3"/>
  <c r="J145" i="2"/>
  <c r="J152" i="2"/>
  <c r="J155" i="2"/>
  <c r="J158" i="2"/>
  <c r="E243" i="3"/>
  <c r="F243" i="3"/>
  <c r="E244" i="3"/>
  <c r="F244" i="3"/>
  <c r="F242" i="3"/>
  <c r="E242" i="3"/>
  <c r="J199" i="2"/>
  <c r="J200" i="2"/>
  <c r="E240" i="3"/>
  <c r="F240" i="3"/>
  <c r="E241" i="3"/>
  <c r="F241" i="3"/>
  <c r="F239" i="3"/>
  <c r="E239" i="3"/>
  <c r="J197" i="2"/>
  <c r="J196" i="2"/>
  <c r="F237" i="3"/>
  <c r="E237" i="3"/>
  <c r="F238" i="3"/>
  <c r="E238" i="3"/>
  <c r="J194" i="2"/>
  <c r="F234" i="3"/>
  <c r="E234" i="3"/>
  <c r="F233" i="3"/>
  <c r="E233" i="3"/>
  <c r="F232" i="3"/>
  <c r="E232" i="3"/>
  <c r="F235" i="3"/>
  <c r="E235" i="3"/>
  <c r="F236" i="3"/>
  <c r="E236" i="3"/>
  <c r="F165" i="3"/>
  <c r="E165" i="3"/>
  <c r="F190" i="3"/>
  <c r="E190" i="3"/>
  <c r="F191" i="3"/>
  <c r="E191" i="3"/>
  <c r="F192" i="3"/>
  <c r="E192" i="3"/>
  <c r="E189" i="3"/>
  <c r="F189" i="3"/>
  <c r="F188" i="3"/>
  <c r="E188" i="3"/>
  <c r="F186" i="3"/>
  <c r="E186" i="3"/>
  <c r="F187" i="3"/>
  <c r="E187" i="3"/>
  <c r="F184" i="3"/>
  <c r="E184" i="3"/>
  <c r="F185" i="3"/>
  <c r="E185" i="3"/>
  <c r="F183" i="3"/>
  <c r="E183" i="3"/>
  <c r="F181" i="3"/>
  <c r="E181" i="3"/>
  <c r="F180" i="3"/>
  <c r="E180" i="3"/>
  <c r="F182" i="3"/>
  <c r="E182" i="3"/>
  <c r="J148" i="2"/>
  <c r="E176" i="3"/>
  <c r="F176" i="3"/>
  <c r="E177" i="3"/>
  <c r="F177" i="3"/>
  <c r="E178" i="3"/>
  <c r="F178" i="3"/>
  <c r="E179" i="3"/>
  <c r="F179" i="3"/>
  <c r="F175" i="3"/>
  <c r="E175" i="3"/>
  <c r="J141" i="2"/>
  <c r="F174" i="3"/>
  <c r="E174" i="3"/>
  <c r="E173" i="3"/>
  <c r="F173" i="3"/>
  <c r="F172" i="3"/>
  <c r="E172" i="3"/>
  <c r="J138" i="2"/>
  <c r="F171" i="3"/>
  <c r="E171" i="3"/>
  <c r="F170" i="3"/>
  <c r="E170" i="3"/>
  <c r="J136" i="2"/>
  <c r="F167" i="3"/>
  <c r="E167" i="3"/>
  <c r="F166" i="3"/>
  <c r="E166" i="3"/>
  <c r="F168" i="3"/>
  <c r="E168" i="3"/>
  <c r="F169" i="3"/>
  <c r="E169" i="3"/>
  <c r="F164" i="3"/>
  <c r="E164" i="3"/>
  <c r="F162" i="3"/>
  <c r="E162" i="3"/>
  <c r="F163" i="3"/>
  <c r="E163" i="3"/>
  <c r="F160" i="3"/>
  <c r="E160" i="3"/>
  <c r="F161" i="3"/>
  <c r="E161" i="3"/>
  <c r="F156" i="3"/>
  <c r="E156" i="3"/>
  <c r="F157" i="3"/>
  <c r="E157" i="3"/>
  <c r="F159" i="3"/>
  <c r="E159" i="3"/>
  <c r="E147" i="3"/>
  <c r="F147" i="3"/>
  <c r="E148" i="3"/>
  <c r="F148" i="3"/>
  <c r="E149" i="3"/>
  <c r="F149" i="3"/>
  <c r="E150" i="3"/>
  <c r="F150" i="3"/>
  <c r="F146" i="3"/>
  <c r="E146" i="3"/>
  <c r="F145" i="3"/>
  <c r="E145" i="3"/>
  <c r="F138" i="3"/>
  <c r="E138" i="3"/>
  <c r="F139" i="3"/>
  <c r="E139" i="3"/>
  <c r="E143" i="3"/>
  <c r="F143" i="3"/>
  <c r="F142" i="3"/>
  <c r="E142" i="3"/>
  <c r="F144" i="3"/>
  <c r="E144" i="3"/>
  <c r="J113" i="2"/>
  <c r="J112" i="2"/>
  <c r="F140" i="3"/>
  <c r="E140" i="3"/>
  <c r="J110" i="2"/>
  <c r="J111" i="2"/>
  <c r="J114" i="2"/>
  <c r="E135" i="3"/>
  <c r="F135" i="3"/>
  <c r="F134" i="3"/>
  <c r="E134" i="3"/>
  <c r="F136" i="3"/>
  <c r="E136" i="3"/>
  <c r="F137" i="3"/>
  <c r="E137" i="3"/>
  <c r="J108" i="2"/>
  <c r="F131" i="3"/>
  <c r="E131" i="3"/>
  <c r="F130" i="3"/>
  <c r="E130" i="3"/>
  <c r="F132" i="3"/>
  <c r="E132" i="3"/>
  <c r="F133" i="3"/>
  <c r="E133" i="3"/>
  <c r="F126" i="3"/>
  <c r="E126" i="3"/>
  <c r="F125" i="3"/>
  <c r="E125" i="3"/>
  <c r="F127" i="3"/>
  <c r="E127" i="3"/>
  <c r="F128" i="3"/>
  <c r="E128" i="3"/>
  <c r="F129" i="3"/>
  <c r="E129" i="3"/>
  <c r="J127" i="2"/>
  <c r="J105" i="2"/>
  <c r="J106" i="2"/>
  <c r="F116" i="3"/>
  <c r="E116" i="3"/>
  <c r="F124" i="3"/>
  <c r="E124" i="3"/>
  <c r="F123" i="3"/>
  <c r="E123" i="3"/>
  <c r="J98" i="2"/>
  <c r="J99" i="2"/>
  <c r="F115" i="3"/>
  <c r="E115" i="3"/>
  <c r="F114" i="3"/>
  <c r="E114" i="3"/>
  <c r="F113" i="3"/>
  <c r="E113" i="3"/>
  <c r="F119" i="3"/>
  <c r="E119" i="3"/>
  <c r="E118" i="3"/>
  <c r="F118" i="3"/>
  <c r="J93" i="2"/>
  <c r="F117" i="3"/>
  <c r="E117" i="3"/>
  <c r="J94" i="2"/>
  <c r="F120" i="3"/>
  <c r="E120" i="3"/>
  <c r="F121" i="3"/>
  <c r="E121" i="3"/>
  <c r="F122" i="3"/>
  <c r="E122" i="3"/>
  <c r="J90" i="2"/>
  <c r="E111" i="3"/>
  <c r="F111" i="3"/>
  <c r="E112" i="3"/>
  <c r="F112" i="3"/>
  <c r="F110" i="3"/>
  <c r="E110" i="3"/>
  <c r="F107" i="3"/>
  <c r="E107" i="3"/>
  <c r="E109" i="3"/>
  <c r="F109" i="3"/>
  <c r="F108" i="3"/>
  <c r="E108" i="3"/>
  <c r="F106" i="3"/>
  <c r="E106" i="3"/>
  <c r="E104" i="3"/>
  <c r="F104" i="3"/>
  <c r="F101" i="3"/>
  <c r="E101" i="3"/>
  <c r="E102" i="3"/>
  <c r="F102" i="3"/>
  <c r="F100" i="3"/>
  <c r="E100" i="3"/>
  <c r="F103" i="3"/>
  <c r="E103" i="3"/>
  <c r="E99" i="3"/>
  <c r="F99" i="3"/>
  <c r="F98" i="3"/>
  <c r="E98" i="3"/>
  <c r="F96" i="3"/>
  <c r="E96" i="3"/>
  <c r="F94" i="3"/>
  <c r="E94" i="3"/>
  <c r="E95" i="3"/>
  <c r="F95" i="3"/>
  <c r="F93" i="3"/>
  <c r="E93" i="3"/>
  <c r="E92" i="3"/>
  <c r="F92" i="3"/>
  <c r="F91" i="3"/>
  <c r="E91" i="3"/>
  <c r="F88" i="3"/>
  <c r="E88" i="3"/>
  <c r="F87" i="3"/>
  <c r="E87" i="3"/>
  <c r="F89" i="3"/>
  <c r="E89" i="3"/>
  <c r="F90" i="3"/>
  <c r="E90" i="3"/>
  <c r="J70" i="2"/>
  <c r="F86" i="3"/>
  <c r="E86" i="3"/>
  <c r="F36" i="3"/>
  <c r="E36" i="3"/>
  <c r="J68" i="2"/>
  <c r="F81" i="3"/>
  <c r="E81" i="3"/>
  <c r="F82" i="3"/>
  <c r="E82" i="3"/>
  <c r="F83" i="3"/>
  <c r="E83" i="3"/>
  <c r="F85" i="3"/>
  <c r="E85" i="3"/>
  <c r="F84" i="3"/>
  <c r="E84" i="3"/>
  <c r="F79" i="3"/>
  <c r="E79" i="3"/>
  <c r="E80" i="3"/>
  <c r="F80" i="3"/>
  <c r="E78" i="3"/>
  <c r="F78" i="3"/>
  <c r="F77" i="3"/>
  <c r="E77" i="3"/>
  <c r="F76" i="3"/>
  <c r="F75" i="3"/>
  <c r="E76" i="3"/>
  <c r="E75" i="3"/>
  <c r="E74" i="3"/>
  <c r="F74" i="3"/>
  <c r="F73" i="3"/>
  <c r="E73" i="3"/>
  <c r="E71" i="3"/>
  <c r="F71" i="3"/>
  <c r="E72" i="3"/>
  <c r="F72" i="3"/>
  <c r="F70" i="3"/>
  <c r="E70" i="3"/>
  <c r="E69" i="3"/>
  <c r="F69" i="3"/>
  <c r="F68" i="3"/>
  <c r="E68" i="3"/>
  <c r="F66" i="3"/>
  <c r="E66" i="3"/>
  <c r="F65" i="3"/>
  <c r="E65" i="3"/>
  <c r="E64" i="3"/>
  <c r="F64" i="3"/>
  <c r="F67" i="3"/>
  <c r="E67" i="3"/>
  <c r="E63" i="3"/>
  <c r="F63" i="3"/>
  <c r="F62" i="3"/>
  <c r="E62" i="3"/>
  <c r="F61" i="3"/>
  <c r="E61" i="3"/>
  <c r="E59" i="3"/>
  <c r="F59" i="3"/>
  <c r="F58" i="3"/>
  <c r="E58" i="3"/>
  <c r="F60" i="3"/>
  <c r="E60" i="3"/>
  <c r="E57" i="3"/>
  <c r="F57" i="3"/>
  <c r="F56" i="3"/>
  <c r="E56" i="3"/>
  <c r="F55" i="3"/>
  <c r="E55" i="3"/>
  <c r="E54" i="3"/>
  <c r="F54" i="3"/>
  <c r="F53" i="3"/>
  <c r="E53" i="3"/>
  <c r="E52" i="3"/>
  <c r="F52" i="3"/>
  <c r="F51" i="3"/>
  <c r="E51" i="3"/>
  <c r="E50" i="3"/>
  <c r="F50" i="3"/>
  <c r="E2" i="3"/>
  <c r="F49" i="3"/>
  <c r="F48" i="3"/>
  <c r="F47" i="3"/>
  <c r="F46" i="3"/>
  <c r="F45" i="3"/>
  <c r="F44" i="3"/>
  <c r="F43" i="3"/>
  <c r="F42" i="3"/>
  <c r="F41" i="3"/>
  <c r="F40" i="3"/>
  <c r="F39" i="3"/>
  <c r="E24" i="3"/>
  <c r="E23" i="3"/>
  <c r="E22" i="3"/>
  <c r="E21" i="3"/>
  <c r="E49" i="3"/>
  <c r="J39" i="2"/>
  <c r="E48" i="3"/>
  <c r="E47" i="3"/>
  <c r="E46" i="3"/>
  <c r="E45" i="3"/>
  <c r="E44" i="3"/>
  <c r="E43" i="3"/>
  <c r="F35" i="3"/>
  <c r="F34" i="3"/>
  <c r="E35" i="3"/>
  <c r="E34" i="3"/>
  <c r="E42" i="3"/>
  <c r="E41" i="3"/>
  <c r="E40" i="3"/>
  <c r="E39" i="3"/>
  <c r="F33" i="3"/>
  <c r="E33" i="3"/>
  <c r="J27" i="2"/>
  <c r="F31" i="3"/>
  <c r="E31" i="3"/>
  <c r="F30" i="3"/>
  <c r="E30" i="3"/>
  <c r="F29" i="3"/>
  <c r="E29" i="3"/>
  <c r="E26" i="3"/>
  <c r="F26" i="3"/>
  <c r="F28" i="3"/>
  <c r="E28" i="3"/>
  <c r="E27" i="3"/>
  <c r="F27" i="3"/>
  <c r="F25" i="3"/>
  <c r="E25" i="3"/>
  <c r="F24" i="3"/>
  <c r="F23" i="3"/>
  <c r="F22" i="3"/>
  <c r="F21" i="3"/>
  <c r="F18" i="3"/>
  <c r="E18" i="3"/>
  <c r="F17" i="3"/>
  <c r="E17" i="3"/>
  <c r="F19" i="3"/>
  <c r="E19" i="3"/>
  <c r="F20" i="3"/>
  <c r="E20" i="3"/>
  <c r="E16" i="3"/>
  <c r="F16" i="3"/>
  <c r="F15" i="3"/>
  <c r="E15" i="3"/>
  <c r="F14" i="3"/>
  <c r="E14" i="3"/>
  <c r="F13" i="3"/>
  <c r="E13" i="3"/>
  <c r="F8" i="3"/>
  <c r="E8" i="3"/>
  <c r="F7" i="3"/>
  <c r="E7" i="3"/>
  <c r="F6" i="3"/>
  <c r="E6" i="3"/>
  <c r="F12" i="3"/>
  <c r="E12" i="3"/>
  <c r="E10" i="3"/>
  <c r="F10" i="3"/>
  <c r="F5" i="3"/>
  <c r="E5" i="3"/>
  <c r="F2" i="3"/>
  <c r="F11" i="3"/>
  <c r="E11" i="3"/>
  <c r="F9" i="3"/>
  <c r="E9" i="3"/>
  <c r="J7" i="2"/>
  <c r="J16" i="2"/>
  <c r="J17" i="2"/>
  <c r="J18" i="2"/>
  <c r="J19" i="2"/>
  <c r="J28" i="2"/>
  <c r="J29" i="2"/>
  <c r="J42" i="2"/>
  <c r="J43" i="2"/>
  <c r="J30" i="2"/>
  <c r="J31" i="2"/>
  <c r="J32" i="2"/>
  <c r="J72" i="2"/>
  <c r="J73" i="2"/>
  <c r="J74" i="2"/>
  <c r="J75" i="2"/>
  <c r="J76" i="2"/>
  <c r="J20" i="2"/>
  <c r="J21" i="2"/>
  <c r="J22" i="2"/>
  <c r="J40" i="2"/>
  <c r="J41" i="2"/>
  <c r="J77" i="2"/>
  <c r="J78" i="2"/>
  <c r="J48" i="2"/>
  <c r="J49" i="2"/>
  <c r="J50" i="2"/>
  <c r="J51" i="2"/>
  <c r="J52" i="2"/>
  <c r="J53" i="2"/>
  <c r="J54" i="2"/>
  <c r="J33" i="2"/>
  <c r="J55" i="2"/>
  <c r="J56" i="2"/>
  <c r="J79" i="2"/>
  <c r="J80" i="2"/>
  <c r="J81" i="2"/>
  <c r="J10" i="2"/>
  <c r="J11" i="2"/>
  <c r="J12" i="2"/>
  <c r="J8" i="2"/>
  <c r="J13" i="2"/>
  <c r="J14" i="2"/>
  <c r="J15" i="2"/>
  <c r="J95" i="2"/>
  <c r="J96" i="2"/>
  <c r="J97" i="2"/>
  <c r="J4" i="2"/>
  <c r="J9" i="2"/>
  <c r="J5" i="2"/>
  <c r="J86" i="2"/>
  <c r="J87" i="2"/>
  <c r="J88" i="2"/>
  <c r="J146" i="2"/>
  <c r="J147" i="2"/>
  <c r="J149" i="2"/>
  <c r="J150" i="2"/>
  <c r="J151" i="2"/>
  <c r="J82" i="2"/>
  <c r="J83" i="2"/>
  <c r="J84" i="2"/>
  <c r="J85" i="2"/>
  <c r="J118" i="2"/>
  <c r="J119" i="2"/>
  <c r="J115" i="2"/>
  <c r="J116" i="2"/>
  <c r="J117" i="2"/>
  <c r="J128" i="2"/>
  <c r="J130" i="2"/>
  <c r="J129" i="2"/>
  <c r="J131" i="2"/>
  <c r="J23" i="2"/>
  <c r="J24" i="2"/>
  <c r="J25" i="2"/>
  <c r="J38" i="2"/>
  <c r="J132" i="2"/>
  <c r="J133" i="2"/>
  <c r="J134" i="2"/>
  <c r="J120" i="2"/>
  <c r="J121" i="2"/>
  <c r="J122" i="2"/>
  <c r="J100" i="2"/>
  <c r="J101" i="2"/>
  <c r="J102" i="2"/>
  <c r="J103" i="2"/>
  <c r="J57" i="2"/>
  <c r="J58" i="2"/>
  <c r="J34" i="2"/>
  <c r="J35" i="2"/>
  <c r="J36" i="2"/>
  <c r="J37" i="2"/>
  <c r="J44" i="2"/>
  <c r="J45" i="2"/>
  <c r="J46" i="2"/>
  <c r="J59" i="2"/>
  <c r="J60" i="2"/>
  <c r="J61" i="2"/>
  <c r="J62" i="2"/>
  <c r="J63" i="2"/>
  <c r="J47" i="2"/>
  <c r="J64" i="2"/>
  <c r="J65" i="2"/>
  <c r="J66" i="2"/>
  <c r="J67" i="2"/>
  <c r="J69" i="2"/>
  <c r="J71" i="2"/>
  <c r="J153" i="2"/>
  <c r="J154" i="2"/>
  <c r="J159" i="2"/>
  <c r="J160" i="2"/>
  <c r="J161" i="2"/>
  <c r="J156" i="2"/>
  <c r="J157" i="2"/>
  <c r="J144" i="2"/>
  <c r="J143" i="2"/>
  <c r="J142" i="2"/>
  <c r="J140" i="2"/>
  <c r="J26" i="2"/>
  <c r="J137" i="2"/>
  <c r="J139" i="2"/>
  <c r="J109" i="2"/>
  <c r="J135" i="2"/>
  <c r="J125" i="2"/>
  <c r="J107" i="2"/>
  <c r="J92" i="2"/>
  <c r="J91" i="2"/>
  <c r="J89" i="2"/>
  <c r="J104" i="2"/>
  <c r="J189" i="2"/>
  <c r="J190" i="2"/>
  <c r="J191" i="2"/>
  <c r="J192" i="2"/>
  <c r="J224" i="2"/>
  <c r="J225" i="2"/>
  <c r="J226" i="2"/>
  <c r="J284" i="2"/>
  <c r="J221" i="2"/>
  <c r="J205" i="2"/>
  <c r="J292" i="2"/>
  <c r="J239" i="2"/>
  <c r="J219" i="2"/>
  <c r="J293" i="2"/>
  <c r="J214" i="2"/>
  <c r="J291" i="2"/>
  <c r="J258" i="2"/>
  <c r="J217" i="2"/>
  <c r="J227" i="2"/>
  <c r="J260" i="2"/>
  <c r="J286" i="2"/>
  <c r="J231" i="2"/>
  <c r="J244" i="2"/>
  <c r="J289" i="2"/>
  <c r="J265" i="2"/>
  <c r="J248" i="2"/>
  <c r="J281" i="2"/>
  <c r="J198" i="2"/>
  <c r="J287" i="2"/>
  <c r="J279" i="2"/>
  <c r="J202" i="2"/>
  <c r="J268" i="2"/>
  <c r="J278" i="2"/>
  <c r="J271" i="2"/>
  <c r="J288" i="2"/>
  <c r="J290" i="2"/>
  <c r="J201" i="2"/>
  <c r="J208" i="2"/>
  <c r="J193" i="2"/>
  <c r="J249" i="2"/>
  <c r="J242" i="2"/>
  <c r="J195" i="2"/>
  <c r="J256" i="2"/>
  <c r="J243" i="2"/>
  <c r="J263" i="2"/>
  <c r="J245" i="2"/>
  <c r="J276" i="2"/>
  <c r="J236" i="2"/>
  <c r="J232" i="2"/>
  <c r="J233" i="2"/>
  <c r="J344" i="2"/>
  <c r="J393" i="2"/>
  <c r="J300" i="2"/>
  <c r="J302" i="2"/>
  <c r="J315" i="2"/>
  <c r="J322" i="2"/>
  <c r="J329" i="2"/>
  <c r="J357" i="2"/>
  <c r="J299" i="2"/>
  <c r="J333" i="2"/>
  <c r="J305" i="2"/>
  <c r="J316" i="2"/>
  <c r="J331" i="2"/>
  <c r="J320" i="2"/>
  <c r="J359" i="2"/>
  <c r="J323" i="2"/>
  <c r="J312" i="2"/>
  <c r="J327" i="2"/>
  <c r="J332" i="2"/>
  <c r="J337" i="2"/>
  <c r="J387" i="2"/>
  <c r="J385" i="2"/>
  <c r="J308" i="2"/>
  <c r="J382" i="2"/>
  <c r="J343" i="2"/>
  <c r="J365" i="2"/>
  <c r="J391" i="2"/>
  <c r="J313" i="2"/>
  <c r="J384" i="2"/>
  <c r="J295" i="2"/>
  <c r="J311" i="2"/>
  <c r="J330" i="2"/>
  <c r="J356" i="2"/>
  <c r="J294" i="2"/>
  <c r="J318" i="2"/>
  <c r="J353" i="2"/>
  <c r="J363" i="2"/>
  <c r="J306" i="2"/>
  <c r="J339" i="2"/>
  <c r="J367" i="2"/>
  <c r="J358" i="2"/>
  <c r="J349" i="2"/>
  <c r="J362" i="2"/>
  <c r="J338" i="2"/>
  <c r="J345" i="2"/>
  <c r="J395" i="2"/>
  <c r="J396" i="2"/>
  <c r="J397" i="2"/>
  <c r="J427" i="2"/>
  <c r="J404" i="2"/>
  <c r="J448" i="2"/>
  <c r="J423" i="2"/>
  <c r="J429" i="2"/>
  <c r="J445" i="2"/>
  <c r="J454" i="2"/>
  <c r="J456" i="2"/>
  <c r="J409" i="2"/>
  <c r="J417" i="2"/>
  <c r="J443" i="2"/>
  <c r="J451" i="2"/>
  <c r="J432" i="2"/>
  <c r="J457" i="2"/>
  <c r="J461" i="2"/>
  <c r="J458" i="2"/>
  <c r="J402" i="2"/>
  <c r="J468" i="2"/>
  <c r="J467" i="2"/>
  <c r="J460" i="2"/>
  <c r="J452" i="2"/>
  <c r="J483" i="2"/>
  <c r="J484" i="2"/>
  <c r="J503" i="2"/>
  <c r="J505" i="2"/>
  <c r="J504" i="2"/>
  <c r="J506" i="2"/>
  <c r="J507" i="2"/>
  <c r="J510" i="2"/>
  <c r="J509" i="2"/>
  <c r="J480" i="2"/>
  <c r="J498" i="2"/>
  <c r="J500" i="2"/>
  <c r="J502" i="2"/>
  <c r="J485" i="2"/>
  <c r="J486" i="2"/>
  <c r="J490" i="2"/>
  <c r="J492" i="2"/>
  <c r="J491" i="2"/>
  <c r="J493" i="2"/>
  <c r="J494" i="2"/>
  <c r="J487" i="2"/>
  <c r="J488" i="2"/>
  <c r="J481" i="2"/>
  <c r="J482" i="2"/>
  <c r="J508" i="2"/>
  <c r="J496" i="2"/>
  <c r="J495" i="2"/>
  <c r="J475" i="2"/>
  <c r="J476" i="2"/>
  <c r="J477" i="2"/>
  <c r="J478" i="2"/>
  <c r="J479" i="2"/>
  <c r="J473" i="2"/>
  <c r="J474" i="2"/>
  <c r="J471" i="2"/>
  <c r="J472" i="2"/>
  <c r="J185" i="2"/>
  <c r="J187" i="2"/>
  <c r="J186" i="2"/>
  <c r="J167" i="2"/>
  <c r="J170" i="2"/>
  <c r="J169" i="2"/>
  <c r="J168" i="2"/>
  <c r="J175" i="2"/>
  <c r="J176" i="2"/>
  <c r="J177" i="2"/>
  <c r="J178" i="2"/>
  <c r="J183" i="2"/>
  <c r="J184" i="2"/>
  <c r="J180" i="2"/>
  <c r="J181" i="2"/>
  <c r="J179" i="2"/>
  <c r="J182" i="2"/>
  <c r="J171" i="2"/>
  <c r="J172" i="2"/>
  <c r="J174" i="2"/>
  <c r="J164" i="2"/>
  <c r="J165" i="2"/>
  <c r="J166" i="2"/>
  <c r="J469" i="2"/>
  <c r="J463" i="2"/>
  <c r="J464" i="2"/>
  <c r="J465" i="2"/>
  <c r="J466" i="2"/>
  <c r="J489" i="2"/>
  <c r="J422" i="2"/>
  <c r="J426" i="2"/>
  <c r="J188" i="2"/>
  <c r="J399" i="2"/>
  <c r="J400" i="2"/>
  <c r="J401" i="2"/>
  <c r="J414" i="2"/>
  <c r="J415" i="2"/>
  <c r="J416" i="2"/>
  <c r="J173" i="2"/>
  <c r="J438" i="2"/>
  <c r="J439" i="2"/>
  <c r="J440" i="2"/>
  <c r="J354" i="2"/>
  <c r="J355" i="2"/>
  <c r="J386" i="2"/>
  <c r="J390" i="2"/>
  <c r="J497" i="2"/>
  <c r="J499" i="2"/>
  <c r="J123" i="2"/>
  <c r="J124" i="2"/>
  <c r="J470" i="2"/>
  <c r="J441" i="2"/>
  <c r="J442" i="2"/>
  <c r="J501" i="2"/>
  <c r="J2" i="2"/>
  <c r="K126" i="2" l="1"/>
  <c r="K162" i="2"/>
  <c r="U518" i="2"/>
  <c r="T518" i="2"/>
  <c r="K462" i="2"/>
  <c r="K459" i="2"/>
  <c r="K444" i="2"/>
  <c r="K215" i="2"/>
  <c r="K216" i="2"/>
  <c r="K217" i="2"/>
  <c r="K433" i="2"/>
  <c r="K434" i="2"/>
  <c r="K435" i="2"/>
  <c r="K436" i="2"/>
  <c r="K437" i="2"/>
  <c r="K431" i="2"/>
  <c r="K430" i="2"/>
  <c r="K428" i="2"/>
  <c r="K424" i="2"/>
  <c r="K425" i="2"/>
  <c r="K220" i="2"/>
  <c r="K221" i="2"/>
  <c r="K218" i="2"/>
  <c r="K219" i="2"/>
  <c r="K213" i="2"/>
  <c r="K209" i="2"/>
  <c r="K214" i="2"/>
  <c r="K251" i="2"/>
  <c r="K252" i="2"/>
  <c r="K250" i="2"/>
  <c r="K254" i="2"/>
  <c r="K255" i="2"/>
  <c r="K246" i="2"/>
  <c r="K247" i="2"/>
  <c r="K240" i="2"/>
  <c r="K241" i="2"/>
  <c r="K242" i="2"/>
  <c r="K237" i="2"/>
  <c r="K238" i="2"/>
  <c r="K222" i="2"/>
  <c r="K210" i="2"/>
  <c r="K211" i="2"/>
  <c r="K212" i="2"/>
  <c r="K207" i="2"/>
  <c r="K208" i="2"/>
  <c r="K206" i="2"/>
  <c r="K203" i="2"/>
  <c r="K204" i="2"/>
  <c r="K205" i="2"/>
  <c r="K158" i="2"/>
  <c r="K155" i="2"/>
  <c r="K152" i="2"/>
  <c r="K145" i="2"/>
  <c r="K199" i="2"/>
  <c r="K200" i="2"/>
  <c r="K201" i="2"/>
  <c r="K196" i="2"/>
  <c r="K197" i="2"/>
  <c r="K198" i="2"/>
  <c r="K194" i="2"/>
  <c r="K110" i="2"/>
  <c r="K111" i="2"/>
  <c r="K112" i="2"/>
  <c r="K113" i="2"/>
  <c r="K114" i="2"/>
  <c r="K115" i="2"/>
  <c r="K108" i="2"/>
  <c r="K127" i="2"/>
  <c r="K128" i="2"/>
  <c r="K130" i="2"/>
  <c r="K105" i="2"/>
  <c r="K106" i="2"/>
  <c r="K107" i="2"/>
  <c r="K98" i="2"/>
  <c r="K99" i="2"/>
  <c r="K94" i="2"/>
  <c r="K93" i="2"/>
  <c r="K90" i="2"/>
  <c r="K394" i="2"/>
  <c r="K195" i="2"/>
  <c r="K389" i="2"/>
  <c r="K392" i="2"/>
  <c r="K383" i="2"/>
  <c r="K378" i="2"/>
  <c r="K379" i="2"/>
  <c r="K380" i="2"/>
  <c r="K381" i="2"/>
  <c r="K377" i="2"/>
  <c r="K376" i="2"/>
  <c r="K375" i="2"/>
  <c r="K373" i="2"/>
  <c r="K374" i="2"/>
  <c r="K382" i="2"/>
  <c r="K368" i="2"/>
  <c r="K369" i="2"/>
  <c r="K370" i="2"/>
  <c r="K371" i="2"/>
  <c r="K372" i="2"/>
  <c r="K366" i="2"/>
  <c r="K364" i="2"/>
  <c r="K455" i="2"/>
  <c r="K360" i="2"/>
  <c r="K361" i="2"/>
  <c r="K453" i="2"/>
  <c r="K449" i="2"/>
  <c r="K450" i="2"/>
  <c r="K446" i="2"/>
  <c r="K447" i="2"/>
  <c r="K410" i="2"/>
  <c r="K411" i="2"/>
  <c r="K412" i="2"/>
  <c r="K413" i="2"/>
  <c r="K405" i="2"/>
  <c r="K406" i="2"/>
  <c r="K407" i="2"/>
  <c r="K408" i="2"/>
  <c r="K403" i="2"/>
  <c r="K398" i="2"/>
  <c r="K350" i="2"/>
  <c r="K351" i="2"/>
  <c r="K352" i="2"/>
  <c r="K346" i="2"/>
  <c r="K347" i="2"/>
  <c r="K348" i="2"/>
  <c r="K340" i="2"/>
  <c r="K341" i="2"/>
  <c r="K342" i="2"/>
  <c r="K336" i="2"/>
  <c r="K334" i="2"/>
  <c r="K335" i="2"/>
  <c r="K328" i="2"/>
  <c r="K325" i="2"/>
  <c r="K326" i="2"/>
  <c r="K324" i="2"/>
  <c r="K321" i="2"/>
  <c r="K319" i="2"/>
  <c r="K317" i="2"/>
  <c r="K314" i="2"/>
  <c r="K309" i="2"/>
  <c r="K310" i="2"/>
  <c r="K307" i="2"/>
  <c r="K308" i="2"/>
  <c r="K273" i="2"/>
  <c r="K275" i="2"/>
  <c r="K269" i="2"/>
  <c r="K270" i="2"/>
  <c r="K266" i="2"/>
  <c r="K267" i="2"/>
  <c r="K304" i="2"/>
  <c r="K301" i="2"/>
  <c r="K297" i="2"/>
  <c r="K298" i="2"/>
  <c r="K296" i="2"/>
  <c r="K285" i="2"/>
  <c r="K282" i="2"/>
  <c r="K283" i="2"/>
  <c r="K277" i="2"/>
  <c r="K272" i="2"/>
  <c r="K274" i="2"/>
  <c r="K264" i="2"/>
  <c r="K261" i="2"/>
  <c r="K262" i="2"/>
  <c r="K259" i="2"/>
  <c r="K257" i="2"/>
  <c r="K253" i="2"/>
  <c r="K235" i="2"/>
  <c r="K234" i="2"/>
  <c r="K236" i="2"/>
  <c r="K230" i="2"/>
  <c r="K231" i="2"/>
  <c r="K228" i="2"/>
  <c r="K229" i="2"/>
  <c r="K223" i="2"/>
  <c r="K149" i="2"/>
  <c r="K141" i="2"/>
  <c r="K138" i="2"/>
  <c r="K139" i="2"/>
  <c r="K136" i="2"/>
  <c r="K137" i="2"/>
  <c r="K70" i="2"/>
  <c r="K68" i="2"/>
  <c r="K39" i="2"/>
  <c r="K27" i="2"/>
  <c r="K8" i="2"/>
  <c r="K6" i="2"/>
  <c r="K7" i="2"/>
  <c r="K95" i="2"/>
  <c r="K96" i="2"/>
  <c r="K97" i="2"/>
  <c r="K86" i="2"/>
  <c r="K87" i="2"/>
  <c r="K88" i="2"/>
  <c r="K146" i="2"/>
  <c r="K147" i="2"/>
  <c r="K150" i="2"/>
  <c r="K151" i="2"/>
  <c r="K82" i="2"/>
  <c r="K83" i="2"/>
  <c r="K84" i="2"/>
  <c r="K85" i="2"/>
  <c r="K118" i="2"/>
  <c r="K119" i="2"/>
  <c r="K116" i="2"/>
  <c r="K117" i="2"/>
  <c r="K129" i="2"/>
  <c r="K131" i="2"/>
  <c r="K23" i="2"/>
  <c r="K24" i="2"/>
  <c r="K25" i="2"/>
  <c r="K38" i="2"/>
  <c r="K132" i="2"/>
  <c r="K133" i="2"/>
  <c r="K134" i="2"/>
  <c r="K120" i="2"/>
  <c r="K121" i="2"/>
  <c r="K122" i="2"/>
  <c r="K100" i="2"/>
  <c r="K101" i="2"/>
  <c r="K102" i="2"/>
  <c r="K103" i="2"/>
  <c r="K57" i="2"/>
  <c r="K58" i="2"/>
  <c r="K34" i="2"/>
  <c r="K35" i="2"/>
  <c r="K36" i="2"/>
  <c r="K37" i="2"/>
  <c r="K44" i="2"/>
  <c r="K45" i="2"/>
  <c r="K46" i="2"/>
  <c r="K59" i="2"/>
  <c r="K60" i="2"/>
  <c r="K61" i="2"/>
  <c r="K62" i="2"/>
  <c r="K63" i="2"/>
  <c r="K47" i="2"/>
  <c r="K64" i="2"/>
  <c r="K65" i="2"/>
  <c r="K66" i="2"/>
  <c r="K67" i="2"/>
  <c r="K69" i="2"/>
  <c r="K71" i="2"/>
  <c r="K153" i="2"/>
  <c r="K154" i="2"/>
  <c r="K159" i="2"/>
  <c r="K160" i="2"/>
  <c r="K161" i="2"/>
  <c r="K156" i="2"/>
  <c r="K157" i="2"/>
  <c r="K144" i="2"/>
  <c r="K143" i="2"/>
  <c r="K142" i="2"/>
  <c r="K140" i="2"/>
  <c r="K26" i="2"/>
  <c r="K109" i="2"/>
  <c r="K135" i="2"/>
  <c r="K125" i="2"/>
  <c r="K92" i="2"/>
  <c r="K91" i="2"/>
  <c r="K89" i="2"/>
  <c r="K104" i="2"/>
  <c r="K189" i="2"/>
  <c r="K190" i="2"/>
  <c r="K191" i="2"/>
  <c r="K192" i="2"/>
  <c r="K224" i="2"/>
  <c r="K225" i="2"/>
  <c r="K226" i="2"/>
  <c r="K284" i="2"/>
  <c r="K292" i="2"/>
  <c r="K239" i="2"/>
  <c r="K293" i="2"/>
  <c r="K291" i="2"/>
  <c r="K258" i="2"/>
  <c r="K280" i="2"/>
  <c r="K227" i="2"/>
  <c r="K260" i="2"/>
  <c r="K286" i="2"/>
  <c r="K244" i="2"/>
  <c r="K289" i="2"/>
  <c r="K265" i="2"/>
  <c r="K248" i="2"/>
  <c r="K281" i="2"/>
  <c r="K287" i="2"/>
  <c r="K279" i="2"/>
  <c r="K202" i="2"/>
  <c r="K268" i="2"/>
  <c r="K278" i="2"/>
  <c r="K271" i="2"/>
  <c r="K288" i="2"/>
  <c r="K290" i="2"/>
  <c r="K193" i="2"/>
  <c r="K249" i="2"/>
  <c r="K388" i="2"/>
  <c r="K256" i="2"/>
  <c r="K243" i="2"/>
  <c r="K263" i="2"/>
  <c r="K245" i="2"/>
  <c r="K276" i="2"/>
  <c r="K232" i="2"/>
  <c r="K233" i="2"/>
  <c r="K344" i="2"/>
  <c r="K393" i="2"/>
  <c r="K300" i="2"/>
  <c r="K302" i="2"/>
  <c r="K315" i="2"/>
  <c r="K322" i="2"/>
  <c r="K329" i="2"/>
  <c r="K357" i="2"/>
  <c r="K299" i="2"/>
  <c r="K333" i="2"/>
  <c r="K305" i="2"/>
  <c r="K316" i="2"/>
  <c r="K331" i="2"/>
  <c r="K320" i="2"/>
  <c r="K359" i="2"/>
  <c r="K323" i="2"/>
  <c r="K312" i="2"/>
  <c r="K327" i="2"/>
  <c r="K332" i="2"/>
  <c r="K337" i="2"/>
  <c r="K387" i="2"/>
  <c r="K385" i="2"/>
  <c r="K343" i="2"/>
  <c r="K365" i="2"/>
  <c r="K391" i="2"/>
  <c r="K313" i="2"/>
  <c r="K384" i="2"/>
  <c r="K295" i="2"/>
  <c r="K311" i="2"/>
  <c r="K330" i="2"/>
  <c r="K356" i="2"/>
  <c r="K294" i="2"/>
  <c r="K318" i="2"/>
  <c r="K353" i="2"/>
  <c r="K363" i="2"/>
  <c r="K306" i="2"/>
  <c r="K339" i="2"/>
  <c r="K367" i="2"/>
  <c r="K358" i="2"/>
  <c r="K349" i="2"/>
  <c r="K362" i="2"/>
  <c r="K338" i="2"/>
  <c r="K345" i="2"/>
  <c r="K395" i="2"/>
  <c r="K396" i="2"/>
  <c r="K397" i="2"/>
  <c r="K427" i="2"/>
  <c r="K404" i="2"/>
  <c r="K448" i="2"/>
  <c r="K423" i="2"/>
  <c r="K429" i="2"/>
  <c r="K445" i="2"/>
  <c r="K454" i="2"/>
  <c r="K456" i="2"/>
  <c r="K409" i="2"/>
  <c r="K417" i="2"/>
  <c r="K443" i="2"/>
  <c r="K451" i="2"/>
  <c r="K432" i="2"/>
  <c r="K457" i="2"/>
  <c r="K461" i="2"/>
  <c r="K458" i="2"/>
  <c r="K402" i="2"/>
  <c r="K468" i="2"/>
  <c r="K467" i="2"/>
  <c r="K460" i="2"/>
  <c r="K452" i="2"/>
  <c r="K483" i="2"/>
  <c r="K484" i="2"/>
  <c r="K503" i="2"/>
  <c r="K505" i="2"/>
  <c r="K504" i="2"/>
  <c r="K506" i="2"/>
  <c r="K507" i="2"/>
  <c r="K510" i="2"/>
  <c r="K509" i="2"/>
  <c r="K480" i="2"/>
  <c r="K498" i="2"/>
  <c r="K500" i="2"/>
  <c r="K502" i="2"/>
  <c r="K485" i="2"/>
  <c r="K486" i="2"/>
  <c r="K490" i="2"/>
  <c r="K492" i="2"/>
  <c r="K491" i="2"/>
  <c r="K493" i="2"/>
  <c r="K494" i="2"/>
  <c r="K487" i="2"/>
  <c r="K488" i="2"/>
  <c r="K481" i="2"/>
  <c r="K482" i="2"/>
  <c r="K508" i="2"/>
  <c r="K496" i="2"/>
  <c r="K495" i="2"/>
  <c r="K475" i="2"/>
  <c r="K476" i="2"/>
  <c r="K477" i="2"/>
  <c r="K478" i="2"/>
  <c r="K479" i="2"/>
  <c r="K473" i="2"/>
  <c r="K474" i="2"/>
  <c r="K471" i="2"/>
  <c r="V516" i="2" s="1"/>
  <c r="K472" i="2"/>
  <c r="K185" i="2"/>
  <c r="K187" i="2"/>
  <c r="K186" i="2"/>
  <c r="K167" i="2"/>
  <c r="K170" i="2"/>
  <c r="K169" i="2"/>
  <c r="K168" i="2"/>
  <c r="K175" i="2"/>
  <c r="K176" i="2"/>
  <c r="K177" i="2"/>
  <c r="K178" i="2"/>
  <c r="K183" i="2"/>
  <c r="K184" i="2"/>
  <c r="K180" i="2"/>
  <c r="K181" i="2"/>
  <c r="K179" i="2"/>
  <c r="K182" i="2"/>
  <c r="K171" i="2"/>
  <c r="K172" i="2"/>
  <c r="K174" i="2"/>
  <c r="K164" i="2"/>
  <c r="K165" i="2"/>
  <c r="K166" i="2"/>
  <c r="K469" i="2"/>
  <c r="K463" i="2"/>
  <c r="K464" i="2"/>
  <c r="K465" i="2"/>
  <c r="K466" i="2"/>
  <c r="K489" i="2"/>
  <c r="K422" i="2"/>
  <c r="K426" i="2"/>
  <c r="K188" i="2"/>
  <c r="K399" i="2"/>
  <c r="K400" i="2"/>
  <c r="K401" i="2"/>
  <c r="K414" i="2"/>
  <c r="K415" i="2"/>
  <c r="K416" i="2"/>
  <c r="K173" i="2"/>
  <c r="K438" i="2"/>
  <c r="K439" i="2"/>
  <c r="K440" i="2"/>
  <c r="K354" i="2"/>
  <c r="K355" i="2"/>
  <c r="K386" i="2"/>
  <c r="K390" i="2"/>
  <c r="K497" i="2"/>
  <c r="K499" i="2"/>
  <c r="K123" i="2"/>
  <c r="K124" i="2"/>
  <c r="K470" i="2"/>
  <c r="K441" i="2"/>
  <c r="K442" i="2"/>
  <c r="K501" i="2"/>
  <c r="K81" i="2"/>
  <c r="K80" i="2"/>
  <c r="K79" i="2"/>
  <c r="K5" i="2"/>
  <c r="K12" i="2"/>
  <c r="K11" i="2"/>
  <c r="K13" i="2"/>
  <c r="K3" i="2"/>
  <c r="K4" i="2"/>
  <c r="K9" i="2"/>
  <c r="K15" i="2"/>
  <c r="K33" i="2"/>
  <c r="K55" i="2"/>
  <c r="K56" i="2"/>
  <c r="K53" i="2"/>
  <c r="K49" i="2"/>
  <c r="K51" i="2"/>
  <c r="K50" i="2"/>
  <c r="K78" i="2"/>
  <c r="K41" i="2"/>
  <c r="K22" i="2"/>
  <c r="K21" i="2"/>
  <c r="K75" i="2"/>
  <c r="K76" i="2"/>
  <c r="K73" i="2"/>
  <c r="K31" i="2"/>
  <c r="K32" i="2"/>
  <c r="K43" i="2"/>
  <c r="K29" i="2"/>
  <c r="K19" i="2"/>
  <c r="K17" i="2"/>
  <c r="K18" i="2"/>
  <c r="K72" i="2"/>
  <c r="K74" i="2"/>
  <c r="K20" i="2"/>
  <c r="K40" i="2"/>
  <c r="K77" i="2"/>
  <c r="K48" i="2"/>
  <c r="K52" i="2"/>
  <c r="K54" i="2"/>
  <c r="K10" i="2"/>
  <c r="K14" i="2"/>
  <c r="K30" i="2"/>
  <c r="K42" i="2"/>
  <c r="K28" i="2"/>
  <c r="K16" i="2"/>
  <c r="K2" i="2"/>
  <c r="K421" i="2"/>
  <c r="K303" i="2"/>
  <c r="K148" i="2"/>
  <c r="K420" i="2"/>
  <c r="K418" i="2"/>
  <c r="K419" i="2"/>
  <c r="H32" i="1"/>
  <c r="N122" i="1"/>
  <c r="N111" i="1"/>
  <c r="N127" i="1"/>
  <c r="N120" i="1"/>
  <c r="N3" i="1"/>
  <c r="N79" i="1"/>
  <c r="N128" i="1"/>
  <c r="N18" i="1"/>
  <c r="N195" i="1"/>
  <c r="N56" i="1"/>
  <c r="N138" i="1"/>
  <c r="N164" i="1"/>
  <c r="N6" i="1"/>
  <c r="N82" i="1"/>
  <c r="N141" i="1"/>
  <c r="N151" i="1"/>
  <c r="N168" i="1"/>
  <c r="N37" i="1"/>
  <c r="N61" i="1"/>
  <c r="N186" i="1"/>
  <c r="N4" i="1"/>
  <c r="N90" i="1"/>
  <c r="N188" i="1"/>
  <c r="N97" i="1"/>
  <c r="N110" i="1"/>
  <c r="N96" i="1"/>
  <c r="N182" i="1"/>
  <c r="N119" i="1"/>
  <c r="N15" i="1"/>
  <c r="N162" i="1"/>
  <c r="N137" i="1"/>
  <c r="N169" i="1"/>
  <c r="N57" i="1"/>
  <c r="N187" i="1"/>
  <c r="N70" i="1"/>
  <c r="N108" i="1"/>
  <c r="N80" i="1"/>
  <c r="N126" i="1"/>
  <c r="N62" i="1"/>
  <c r="N35" i="1"/>
  <c r="N58" i="1"/>
  <c r="N144" i="1"/>
  <c r="N48" i="1"/>
  <c r="N30" i="1"/>
  <c r="N94" i="1"/>
  <c r="N65" i="1"/>
  <c r="N101" i="1"/>
  <c r="N26" i="1"/>
  <c r="N91" i="1"/>
  <c r="N125" i="1"/>
  <c r="N116" i="1"/>
  <c r="N22" i="1"/>
  <c r="N17" i="1"/>
  <c r="N152" i="1"/>
  <c r="N155" i="1"/>
  <c r="N32" i="1"/>
  <c r="N135" i="1"/>
  <c r="N153" i="1"/>
  <c r="N121" i="1"/>
  <c r="N176" i="1"/>
  <c r="N194" i="1"/>
  <c r="N23" i="1"/>
  <c r="N87" i="1"/>
  <c r="N33" i="1"/>
  <c r="N95" i="1"/>
  <c r="N192" i="1"/>
  <c r="N165" i="1"/>
  <c r="N71" i="1"/>
  <c r="N161" i="1"/>
  <c r="N154" i="1"/>
  <c r="N172" i="1"/>
  <c r="N147" i="1"/>
  <c r="N72" i="1"/>
  <c r="N179" i="1"/>
  <c r="N170" i="1"/>
  <c r="N184" i="1"/>
  <c r="N38" i="1"/>
  <c r="N10" i="1"/>
  <c r="N173" i="1"/>
  <c r="N31" i="1"/>
  <c r="N145" i="1"/>
  <c r="N140" i="1"/>
  <c r="N103" i="1"/>
  <c r="N29" i="1"/>
  <c r="N190" i="1"/>
  <c r="N63" i="1"/>
  <c r="N16" i="1"/>
  <c r="N148" i="1"/>
  <c r="N156" i="1"/>
  <c r="N163" i="1"/>
  <c r="N54" i="1"/>
  <c r="N49" i="1"/>
  <c r="N81" i="1"/>
  <c r="N75" i="1"/>
  <c r="N27" i="1"/>
  <c r="N25" i="1"/>
  <c r="N109" i="1"/>
  <c r="N73" i="1"/>
  <c r="N7" i="1"/>
  <c r="N78" i="1"/>
  <c r="N9" i="1"/>
  <c r="N102" i="1"/>
  <c r="N131" i="1"/>
  <c r="N13" i="1"/>
  <c r="N98" i="1"/>
  <c r="N42" i="1"/>
  <c r="N157" i="1"/>
  <c r="N106" i="1"/>
  <c r="N107" i="1"/>
  <c r="N59" i="1"/>
  <c r="N112" i="1"/>
  <c r="N166" i="1"/>
  <c r="N197" i="1"/>
  <c r="N60" i="1"/>
  <c r="N85" i="1"/>
  <c r="N118" i="1"/>
  <c r="N67" i="1"/>
  <c r="N39" i="1"/>
  <c r="N100" i="1"/>
  <c r="N136" i="1"/>
  <c r="N139" i="1"/>
  <c r="N158" i="1"/>
  <c r="N19" i="1"/>
  <c r="N36" i="1"/>
  <c r="N171" i="1"/>
  <c r="N93" i="1"/>
  <c r="N104" i="1"/>
  <c r="N167" i="1"/>
  <c r="N132" i="1"/>
  <c r="N21" i="1"/>
  <c r="N196" i="1"/>
  <c r="N129" i="1"/>
  <c r="N117" i="1"/>
  <c r="N113" i="1"/>
  <c r="N52" i="1"/>
  <c r="N123" i="1"/>
  <c r="N43" i="1"/>
  <c r="N5" i="1"/>
  <c r="N64" i="1"/>
  <c r="N159" i="1"/>
  <c r="N55" i="1"/>
  <c r="N51" i="1"/>
  <c r="N185" i="1"/>
  <c r="N142" i="1"/>
  <c r="H122" i="1"/>
  <c r="H111" i="1"/>
  <c r="H134" i="1"/>
  <c r="H127" i="1"/>
  <c r="H120" i="1"/>
  <c r="H3" i="1"/>
  <c r="H79" i="1"/>
  <c r="H128" i="1"/>
  <c r="H18" i="1"/>
  <c r="H195" i="1"/>
  <c r="H86" i="1"/>
  <c r="H56" i="1"/>
  <c r="H138" i="1"/>
  <c r="H164" i="1"/>
  <c r="H6" i="1"/>
  <c r="H82" i="1"/>
  <c r="H141" i="1"/>
  <c r="H151" i="1"/>
  <c r="H168" i="1"/>
  <c r="H37" i="1"/>
  <c r="H61" i="1"/>
  <c r="H186" i="1"/>
  <c r="H4" i="1"/>
  <c r="H90" i="1"/>
  <c r="H188" i="1"/>
  <c r="H97" i="1"/>
  <c r="H110" i="1"/>
  <c r="H96" i="1"/>
  <c r="H182" i="1"/>
  <c r="H119" i="1"/>
  <c r="H15" i="1"/>
  <c r="H162" i="1"/>
  <c r="H193" i="1"/>
  <c r="H137" i="1"/>
  <c r="H169" i="1"/>
  <c r="H57" i="1"/>
  <c r="H187" i="1"/>
  <c r="H70" i="1"/>
  <c r="H108" i="1"/>
  <c r="H80" i="1"/>
  <c r="H126" i="1"/>
  <c r="H2" i="1"/>
  <c r="H62" i="1"/>
  <c r="H35" i="1"/>
  <c r="H58" i="1"/>
  <c r="H144" i="1"/>
  <c r="H48" i="1"/>
  <c r="H30" i="1"/>
  <c r="H94" i="1"/>
  <c r="H65" i="1"/>
  <c r="H99" i="1"/>
  <c r="H101" i="1"/>
  <c r="H26" i="1"/>
  <c r="H91" i="1"/>
  <c r="H125" i="1"/>
  <c r="H116" i="1"/>
  <c r="H22" i="1"/>
  <c r="H17" i="1"/>
  <c r="H152" i="1"/>
  <c r="H155" i="1"/>
  <c r="H178" i="1"/>
  <c r="H135" i="1"/>
  <c r="H153" i="1"/>
  <c r="H121" i="1"/>
  <c r="H176" i="1"/>
  <c r="H194" i="1"/>
  <c r="H23" i="1"/>
  <c r="H87" i="1"/>
  <c r="H33" i="1"/>
  <c r="H95" i="1"/>
  <c r="H192" i="1"/>
  <c r="H165" i="1"/>
  <c r="H71" i="1"/>
  <c r="H161" i="1"/>
  <c r="H154" i="1"/>
  <c r="H172" i="1"/>
  <c r="H147" i="1"/>
  <c r="H72" i="1"/>
  <c r="H179" i="1"/>
  <c r="H170" i="1"/>
  <c r="H184" i="1"/>
  <c r="H38" i="1"/>
  <c r="H10" i="1"/>
  <c r="H173" i="1"/>
  <c r="H31" i="1"/>
  <c r="H145" i="1"/>
  <c r="H140" i="1"/>
  <c r="H103" i="1"/>
  <c r="H29" i="1"/>
  <c r="H8" i="1"/>
  <c r="H190" i="1"/>
  <c r="H63" i="1"/>
  <c r="H16" i="1"/>
  <c r="H148" i="1"/>
  <c r="H156" i="1"/>
  <c r="H163" i="1"/>
  <c r="H54" i="1"/>
  <c r="H49" i="1"/>
  <c r="H81" i="1"/>
  <c r="H75" i="1"/>
  <c r="H27" i="1"/>
  <c r="H69" i="1"/>
  <c r="H133" i="1"/>
  <c r="H25" i="1"/>
  <c r="H109" i="1"/>
  <c r="H73" i="1"/>
  <c r="H7" i="1"/>
  <c r="H78" i="1"/>
  <c r="H9" i="1"/>
  <c r="H102" i="1"/>
  <c r="H131" i="1"/>
  <c r="H13" i="1"/>
  <c r="H98" i="1"/>
  <c r="H42" i="1"/>
  <c r="H157" i="1"/>
  <c r="H106" i="1"/>
  <c r="H107" i="1"/>
  <c r="H59" i="1"/>
  <c r="H112" i="1"/>
  <c r="H166" i="1"/>
  <c r="H197" i="1"/>
  <c r="H20" i="1"/>
  <c r="H60" i="1"/>
  <c r="H85" i="1"/>
  <c r="H118" i="1"/>
  <c r="H67" i="1"/>
  <c r="H39" i="1"/>
  <c r="H100" i="1"/>
  <c r="H136" i="1"/>
  <c r="H34" i="1"/>
  <c r="H139" i="1"/>
  <c r="H191" i="1"/>
  <c r="H158" i="1"/>
  <c r="H19" i="1"/>
  <c r="H36" i="1"/>
  <c r="H171" i="1"/>
  <c r="H93" i="1"/>
  <c r="H104" i="1"/>
  <c r="H167" i="1"/>
  <c r="H132" i="1"/>
  <c r="H21" i="1"/>
  <c r="H66" i="1"/>
  <c r="H196" i="1"/>
  <c r="H129" i="1"/>
  <c r="H117" i="1"/>
  <c r="H113" i="1"/>
  <c r="H52" i="1"/>
  <c r="H123" i="1"/>
  <c r="H43" i="1"/>
  <c r="H5" i="1"/>
  <c r="H105" i="1"/>
  <c r="H64" i="1"/>
  <c r="H88" i="1"/>
  <c r="H159" i="1"/>
  <c r="H55" i="1"/>
  <c r="H51" i="1"/>
  <c r="H185" i="1"/>
  <c r="H142" i="1"/>
  <c r="H89" i="1"/>
  <c r="H74" i="1"/>
  <c r="H181" i="1"/>
  <c r="H28" i="1"/>
  <c r="H160" i="1"/>
  <c r="H92" i="1"/>
  <c r="H174" i="1"/>
  <c r="H83" i="1"/>
  <c r="H84" i="1"/>
  <c r="H24" i="1"/>
  <c r="H189" i="1"/>
  <c r="H114" i="1"/>
  <c r="H50" i="1"/>
  <c r="H68" i="1"/>
  <c r="H183" i="1"/>
  <c r="H115" i="1"/>
  <c r="H130" i="1"/>
  <c r="H149" i="1"/>
  <c r="H77" i="1"/>
  <c r="H175" i="1"/>
  <c r="H143" i="1"/>
  <c r="H180" i="1"/>
  <c r="H45" i="1"/>
  <c r="H12" i="1"/>
  <c r="H150" i="1"/>
  <c r="H11" i="1"/>
  <c r="H44" i="1"/>
  <c r="H46" i="1"/>
  <c r="H177" i="1"/>
  <c r="H14" i="1"/>
  <c r="H146" i="1"/>
  <c r="H47" i="1"/>
  <c r="H41" i="1"/>
  <c r="H40" i="1"/>
  <c r="H124" i="1"/>
  <c r="H53" i="1"/>
  <c r="H76" i="1"/>
  <c r="N44" i="1"/>
  <c r="N11" i="1"/>
  <c r="N150" i="1"/>
  <c r="N12" i="1"/>
  <c r="N45" i="1"/>
  <c r="N180" i="1"/>
  <c r="N143" i="1"/>
  <c r="N77" i="1"/>
  <c r="N130" i="1"/>
  <c r="N115" i="1"/>
  <c r="N183" i="1"/>
  <c r="N68" i="1"/>
  <c r="N50" i="1"/>
  <c r="N114" i="1"/>
  <c r="N189" i="1"/>
  <c r="N24" i="1"/>
  <c r="N83" i="1"/>
  <c r="N174" i="1"/>
  <c r="N92" i="1"/>
  <c r="N160" i="1"/>
  <c r="N28" i="1"/>
  <c r="N181" i="1"/>
  <c r="N74" i="1"/>
  <c r="N89" i="1"/>
  <c r="N88" i="1"/>
  <c r="N20" i="1"/>
  <c r="C122" i="1"/>
  <c r="C111" i="1"/>
  <c r="C134" i="1"/>
  <c r="C127" i="1"/>
  <c r="C120" i="1"/>
  <c r="C3" i="1"/>
  <c r="C79" i="1"/>
  <c r="C128" i="1"/>
  <c r="C18" i="1"/>
  <c r="C195" i="1"/>
  <c r="C86" i="1"/>
  <c r="C56" i="1"/>
  <c r="C138" i="1"/>
  <c r="C164" i="1"/>
  <c r="C6" i="1"/>
  <c r="C82" i="1"/>
  <c r="C141" i="1"/>
  <c r="C151" i="1"/>
  <c r="C168" i="1"/>
  <c r="C37" i="1"/>
  <c r="C61" i="1"/>
  <c r="C186" i="1"/>
  <c r="C4" i="1"/>
  <c r="C90" i="1"/>
  <c r="C188" i="1"/>
  <c r="C97" i="1"/>
  <c r="C110" i="1"/>
  <c r="C96" i="1"/>
  <c r="C182" i="1"/>
  <c r="C119" i="1"/>
  <c r="C15" i="1"/>
  <c r="C162" i="1"/>
  <c r="C193" i="1"/>
  <c r="C137" i="1"/>
  <c r="C169" i="1"/>
  <c r="C57" i="1"/>
  <c r="C187" i="1"/>
  <c r="C70" i="1"/>
  <c r="C108" i="1"/>
  <c r="C80" i="1"/>
  <c r="C126" i="1"/>
  <c r="C2" i="1"/>
  <c r="C62" i="1"/>
  <c r="C35" i="1"/>
  <c r="C58" i="1"/>
  <c r="C144" i="1"/>
  <c r="C48" i="1"/>
  <c r="C30" i="1"/>
  <c r="C94" i="1"/>
  <c r="C65" i="1"/>
  <c r="C99" i="1"/>
  <c r="C101" i="1"/>
  <c r="C26" i="1"/>
  <c r="C91" i="1"/>
  <c r="C125" i="1"/>
  <c r="C116" i="1"/>
  <c r="C22" i="1"/>
  <c r="C17" i="1"/>
  <c r="C152" i="1"/>
  <c r="C155" i="1"/>
  <c r="C178" i="1"/>
  <c r="C32" i="1"/>
  <c r="C135" i="1"/>
  <c r="C153" i="1"/>
  <c r="C121" i="1"/>
  <c r="C176" i="1"/>
  <c r="C194" i="1"/>
  <c r="C23" i="1"/>
  <c r="C87" i="1"/>
  <c r="C33" i="1"/>
  <c r="C95" i="1"/>
  <c r="C192" i="1"/>
  <c r="C165" i="1"/>
  <c r="C71" i="1"/>
  <c r="C161" i="1"/>
  <c r="C154" i="1"/>
  <c r="C172" i="1"/>
  <c r="C147" i="1"/>
  <c r="C72" i="1"/>
  <c r="C179" i="1"/>
  <c r="C170" i="1"/>
  <c r="C184" i="1"/>
  <c r="C38" i="1"/>
  <c r="C10" i="1"/>
  <c r="C173" i="1"/>
  <c r="C31" i="1"/>
  <c r="C145" i="1"/>
  <c r="C140" i="1"/>
  <c r="C103" i="1"/>
  <c r="C29" i="1"/>
  <c r="C8" i="1"/>
  <c r="C190" i="1"/>
  <c r="C63" i="1"/>
  <c r="C16" i="1"/>
  <c r="C148" i="1"/>
  <c r="C156" i="1"/>
  <c r="C163" i="1"/>
  <c r="C54" i="1"/>
  <c r="C49" i="1"/>
  <c r="C81" i="1"/>
  <c r="C75" i="1"/>
  <c r="C27" i="1"/>
  <c r="C69" i="1"/>
  <c r="C133" i="1"/>
  <c r="C25" i="1"/>
  <c r="C109" i="1"/>
  <c r="C73" i="1"/>
  <c r="C7" i="1"/>
  <c r="C78" i="1"/>
  <c r="C9" i="1"/>
  <c r="C102" i="1"/>
  <c r="C131" i="1"/>
  <c r="C13" i="1"/>
  <c r="C98" i="1"/>
  <c r="C42" i="1"/>
  <c r="C157" i="1"/>
  <c r="C106" i="1"/>
  <c r="C107" i="1"/>
  <c r="C59" i="1"/>
  <c r="C112" i="1"/>
  <c r="C166" i="1"/>
  <c r="C197" i="1"/>
  <c r="C20" i="1"/>
  <c r="C60" i="1"/>
  <c r="C85" i="1"/>
  <c r="C118" i="1"/>
  <c r="C67" i="1"/>
  <c r="C39" i="1"/>
  <c r="C100" i="1"/>
  <c r="C136" i="1"/>
  <c r="C34" i="1"/>
  <c r="C139" i="1"/>
  <c r="C191" i="1"/>
  <c r="C158" i="1"/>
  <c r="C19" i="1"/>
  <c r="C36" i="1"/>
  <c r="C171" i="1"/>
  <c r="C93" i="1"/>
  <c r="C104" i="1"/>
  <c r="C167" i="1"/>
  <c r="C132" i="1"/>
  <c r="C21" i="1"/>
  <c r="C66" i="1"/>
  <c r="C196" i="1"/>
  <c r="C129" i="1"/>
  <c r="C117" i="1"/>
  <c r="C113" i="1"/>
  <c r="C52" i="1"/>
  <c r="C123" i="1"/>
  <c r="C43" i="1"/>
  <c r="C5" i="1"/>
  <c r="C105" i="1"/>
  <c r="C64" i="1"/>
  <c r="C88" i="1"/>
  <c r="C159" i="1"/>
  <c r="C55" i="1"/>
  <c r="C51" i="1"/>
  <c r="C185" i="1"/>
  <c r="C142" i="1"/>
  <c r="C89" i="1"/>
  <c r="C74" i="1"/>
  <c r="C181" i="1"/>
  <c r="C28" i="1"/>
  <c r="C160" i="1"/>
  <c r="C92" i="1"/>
  <c r="C174" i="1"/>
  <c r="C83" i="1"/>
  <c r="C84" i="1"/>
  <c r="C24" i="1"/>
  <c r="C189" i="1"/>
  <c r="C114" i="1"/>
  <c r="C50" i="1"/>
  <c r="C68" i="1"/>
  <c r="C183" i="1"/>
  <c r="C115" i="1"/>
  <c r="C130" i="1"/>
  <c r="C149" i="1"/>
  <c r="C77" i="1"/>
  <c r="C175" i="1"/>
  <c r="C143" i="1"/>
  <c r="C180" i="1"/>
  <c r="C45" i="1"/>
  <c r="C12" i="1"/>
  <c r="C150" i="1"/>
  <c r="C11" i="1"/>
  <c r="C44" i="1"/>
  <c r="C46" i="1"/>
  <c r="C177" i="1"/>
  <c r="C14" i="1"/>
  <c r="C146" i="1"/>
  <c r="C47" i="1"/>
  <c r="C41" i="1"/>
  <c r="C40" i="1"/>
  <c r="C124" i="1"/>
  <c r="C53" i="1"/>
  <c r="C76" i="1"/>
  <c r="E53" i="1"/>
  <c r="E124" i="1"/>
  <c r="E40" i="1"/>
  <c r="E41" i="1"/>
  <c r="E47" i="1"/>
  <c r="E146" i="1"/>
  <c r="E14" i="1"/>
  <c r="E177" i="1"/>
  <c r="E46" i="1"/>
  <c r="E44" i="1"/>
  <c r="E11" i="1"/>
  <c r="E150" i="1"/>
  <c r="E12" i="1"/>
  <c r="E45" i="1"/>
  <c r="E180" i="1"/>
  <c r="E143" i="1"/>
  <c r="E175" i="1"/>
  <c r="E77" i="1"/>
  <c r="E149" i="1"/>
  <c r="E130" i="1"/>
  <c r="E115" i="1"/>
  <c r="E183" i="1"/>
  <c r="E68" i="1"/>
  <c r="E50" i="1"/>
  <c r="E114" i="1"/>
  <c r="E189" i="1"/>
  <c r="E24" i="1"/>
  <c r="E84" i="1"/>
  <c r="E83" i="1"/>
  <c r="E174" i="1"/>
  <c r="E92" i="1"/>
  <c r="E160" i="1"/>
  <c r="E28" i="1"/>
  <c r="E181" i="1"/>
  <c r="E74" i="1"/>
  <c r="E89" i="1"/>
  <c r="E142" i="1"/>
  <c r="E185" i="1"/>
  <c r="E51" i="1"/>
  <c r="E55" i="1"/>
  <c r="E159" i="1"/>
  <c r="E88" i="1"/>
  <c r="E64" i="1"/>
  <c r="E105" i="1"/>
  <c r="E5" i="1"/>
  <c r="E43" i="1"/>
  <c r="E123" i="1"/>
  <c r="E52" i="1"/>
  <c r="E113" i="1"/>
  <c r="E117" i="1"/>
  <c r="E129" i="1"/>
  <c r="E196" i="1"/>
  <c r="E66" i="1"/>
  <c r="E21" i="1"/>
  <c r="E132" i="1"/>
  <c r="E167" i="1"/>
  <c r="E104" i="1"/>
  <c r="E93" i="1"/>
  <c r="E171" i="1"/>
  <c r="E36" i="1"/>
  <c r="E19" i="1"/>
  <c r="E158" i="1"/>
  <c r="E191" i="1"/>
  <c r="E139" i="1"/>
  <c r="E34" i="1"/>
  <c r="E136" i="1"/>
  <c r="E100" i="1"/>
  <c r="E39" i="1"/>
  <c r="E67" i="1"/>
  <c r="E118" i="1"/>
  <c r="E85" i="1"/>
  <c r="E60" i="1"/>
  <c r="E20" i="1"/>
  <c r="E197" i="1"/>
  <c r="E166" i="1"/>
  <c r="E112" i="1"/>
  <c r="E59" i="1"/>
  <c r="E107" i="1"/>
  <c r="E106" i="1"/>
  <c r="E157" i="1"/>
  <c r="E42" i="1"/>
  <c r="E98" i="1"/>
  <c r="E13" i="1"/>
  <c r="E131" i="1"/>
  <c r="E102" i="1"/>
  <c r="E9" i="1"/>
  <c r="E78" i="1"/>
  <c r="E7" i="1"/>
  <c r="E73" i="1"/>
  <c r="E109" i="1"/>
  <c r="E25" i="1"/>
  <c r="E133" i="1"/>
  <c r="E69" i="1"/>
  <c r="E27" i="1"/>
  <c r="E75" i="1"/>
  <c r="E81" i="1"/>
  <c r="E49" i="1"/>
  <c r="E54" i="1"/>
  <c r="E163" i="1"/>
  <c r="E156" i="1"/>
  <c r="E148" i="1"/>
  <c r="E16" i="1"/>
  <c r="E63" i="1"/>
  <c r="E190" i="1"/>
  <c r="E8" i="1"/>
  <c r="E29" i="1"/>
  <c r="E103" i="1"/>
  <c r="E140" i="1"/>
  <c r="E145" i="1"/>
  <c r="E31" i="1"/>
  <c r="E173" i="1"/>
  <c r="E10" i="1"/>
  <c r="E38" i="1"/>
  <c r="E184" i="1"/>
  <c r="E170" i="1"/>
  <c r="E179" i="1"/>
  <c r="E72" i="1"/>
  <c r="E147" i="1"/>
  <c r="E172" i="1"/>
  <c r="E154" i="1"/>
  <c r="E161" i="1"/>
  <c r="E71" i="1"/>
  <c r="E165" i="1"/>
  <c r="E192" i="1"/>
  <c r="E95" i="1"/>
  <c r="E33" i="1"/>
  <c r="E87" i="1"/>
  <c r="E23" i="1"/>
  <c r="E194" i="1"/>
  <c r="E176" i="1"/>
  <c r="E121" i="1"/>
  <c r="E153" i="1"/>
  <c r="E135" i="1"/>
  <c r="E32" i="1"/>
  <c r="E178" i="1"/>
  <c r="E155" i="1"/>
  <c r="E152" i="1"/>
  <c r="E17" i="1"/>
  <c r="E22" i="1"/>
  <c r="E116" i="1"/>
  <c r="E125" i="1"/>
  <c r="E91" i="1"/>
  <c r="E26" i="1"/>
  <c r="E101" i="1"/>
  <c r="E99" i="1"/>
  <c r="E65" i="1"/>
  <c r="E94" i="1"/>
  <c r="E30" i="1"/>
  <c r="E48" i="1"/>
  <c r="E144" i="1"/>
  <c r="E58" i="1"/>
  <c r="E35" i="1"/>
  <c r="E62" i="1"/>
  <c r="E2" i="1"/>
  <c r="E126" i="1"/>
  <c r="E80" i="1"/>
  <c r="E108" i="1"/>
  <c r="E70" i="1"/>
  <c r="E187" i="1"/>
  <c r="E57" i="1"/>
  <c r="E169" i="1"/>
  <c r="E137" i="1"/>
  <c r="E193" i="1"/>
  <c r="E162" i="1"/>
  <c r="E15" i="1"/>
  <c r="E119" i="1"/>
  <c r="E182" i="1"/>
  <c r="E96" i="1"/>
  <c r="E110" i="1"/>
  <c r="E97" i="1"/>
  <c r="E188" i="1"/>
  <c r="E90" i="1"/>
  <c r="E4" i="1"/>
  <c r="E186" i="1"/>
  <c r="E61" i="1"/>
  <c r="E37" i="1"/>
  <c r="E168" i="1"/>
  <c r="E151" i="1"/>
  <c r="E141" i="1"/>
  <c r="E82" i="1"/>
  <c r="E6" i="1"/>
  <c r="E164" i="1"/>
  <c r="E138" i="1"/>
  <c r="E56" i="1"/>
  <c r="E86" i="1"/>
  <c r="E195" i="1"/>
  <c r="E18" i="1"/>
  <c r="E128" i="1"/>
  <c r="E79" i="1"/>
  <c r="E3" i="1"/>
  <c r="E120" i="1"/>
  <c r="E127" i="1"/>
  <c r="E134" i="1"/>
  <c r="E111" i="1"/>
  <c r="E122" i="1"/>
  <c r="E76" i="1"/>
  <c r="N124" i="1"/>
  <c r="N40" i="1"/>
  <c r="N41" i="1"/>
  <c r="N47" i="1"/>
  <c r="N146" i="1"/>
  <c r="N14" i="1"/>
  <c r="N177" i="1"/>
  <c r="N46" i="1"/>
  <c r="N175" i="1"/>
  <c r="N149" i="1"/>
  <c r="N84" i="1"/>
  <c r="L53" i="1"/>
  <c r="N53" i="1"/>
  <c r="L124" i="1"/>
  <c r="L40" i="1"/>
  <c r="L41" i="1"/>
  <c r="L47" i="1"/>
  <c r="L146" i="1"/>
  <c r="L14" i="1"/>
  <c r="L177" i="1"/>
  <c r="L46" i="1"/>
  <c r="L44" i="1"/>
  <c r="L11" i="1"/>
  <c r="L150" i="1"/>
  <c r="L12" i="1"/>
  <c r="L45" i="1"/>
  <c r="L180" i="1"/>
  <c r="L143" i="1"/>
  <c r="L175" i="1"/>
  <c r="L77" i="1"/>
  <c r="L149" i="1"/>
  <c r="L130" i="1"/>
  <c r="L115" i="1"/>
  <c r="L183" i="1"/>
  <c r="L68" i="1"/>
  <c r="L50" i="1"/>
  <c r="L114" i="1"/>
  <c r="L189" i="1"/>
  <c r="L24" i="1"/>
  <c r="L84" i="1"/>
  <c r="L83" i="1"/>
  <c r="L174" i="1"/>
  <c r="L92" i="1"/>
  <c r="L160" i="1"/>
  <c r="L28" i="1"/>
  <c r="L181" i="1"/>
  <c r="L74" i="1"/>
  <c r="L89" i="1"/>
  <c r="L142" i="1"/>
  <c r="L185" i="1"/>
  <c r="L51" i="1"/>
  <c r="L55" i="1"/>
  <c r="L159" i="1"/>
  <c r="L88" i="1"/>
  <c r="L64" i="1"/>
  <c r="L105" i="1"/>
  <c r="L5" i="1"/>
  <c r="L43" i="1"/>
  <c r="L123" i="1"/>
  <c r="L52" i="1"/>
  <c r="L113" i="1"/>
  <c r="L117" i="1"/>
  <c r="L129" i="1"/>
  <c r="L196" i="1"/>
  <c r="L66" i="1"/>
  <c r="L21" i="1"/>
  <c r="L132" i="1"/>
  <c r="L167" i="1"/>
  <c r="L104" i="1"/>
  <c r="L93" i="1"/>
  <c r="L171" i="1"/>
  <c r="L36" i="1"/>
  <c r="L19" i="1"/>
  <c r="L158" i="1"/>
  <c r="L191" i="1"/>
  <c r="L139" i="1"/>
  <c r="L34" i="1"/>
  <c r="L136" i="1"/>
  <c r="L100" i="1"/>
  <c r="L39" i="1"/>
  <c r="L67" i="1"/>
  <c r="L118" i="1"/>
  <c r="L85" i="1"/>
  <c r="L60" i="1"/>
  <c r="L20" i="1"/>
  <c r="L197" i="1"/>
  <c r="L166" i="1"/>
  <c r="L112" i="1"/>
  <c r="L59" i="1"/>
  <c r="L107" i="1"/>
  <c r="L106" i="1"/>
  <c r="L157" i="1"/>
  <c r="L42" i="1"/>
  <c r="L98" i="1"/>
  <c r="L13" i="1"/>
  <c r="L131" i="1"/>
  <c r="L102" i="1"/>
  <c r="L9" i="1"/>
  <c r="L78" i="1"/>
  <c r="L7" i="1"/>
  <c r="L73" i="1"/>
  <c r="L109" i="1"/>
  <c r="L25" i="1"/>
  <c r="L133" i="1"/>
  <c r="L69" i="1"/>
  <c r="L27" i="1"/>
  <c r="L75" i="1"/>
  <c r="L81" i="1"/>
  <c r="L49" i="1"/>
  <c r="L54" i="1"/>
  <c r="L163" i="1"/>
  <c r="L156" i="1"/>
  <c r="L148" i="1"/>
  <c r="L16" i="1"/>
  <c r="L63" i="1"/>
  <c r="L190" i="1"/>
  <c r="L8" i="1"/>
  <c r="L29" i="1"/>
  <c r="L103" i="1"/>
  <c r="L140" i="1"/>
  <c r="L145" i="1"/>
  <c r="L31" i="1"/>
  <c r="L173" i="1"/>
  <c r="L10" i="1"/>
  <c r="L38" i="1"/>
  <c r="L184" i="1"/>
  <c r="L170" i="1"/>
  <c r="L179" i="1"/>
  <c r="L72" i="1"/>
  <c r="L147" i="1"/>
  <c r="L172" i="1"/>
  <c r="L154" i="1"/>
  <c r="L161" i="1"/>
  <c r="L71" i="1"/>
  <c r="L165" i="1"/>
  <c r="L192" i="1"/>
  <c r="L95" i="1"/>
  <c r="L33" i="1"/>
  <c r="L87" i="1"/>
  <c r="L23" i="1"/>
  <c r="L194" i="1"/>
  <c r="L176" i="1"/>
  <c r="L121" i="1"/>
  <c r="L153" i="1"/>
  <c r="L135" i="1"/>
  <c r="L32" i="1"/>
  <c r="L178" i="1"/>
  <c r="L155" i="1"/>
  <c r="L152" i="1"/>
  <c r="L17" i="1"/>
  <c r="L22" i="1"/>
  <c r="L116" i="1"/>
  <c r="L125" i="1"/>
  <c r="L91" i="1"/>
  <c r="L26" i="1"/>
  <c r="L101" i="1"/>
  <c r="L99" i="1"/>
  <c r="L65" i="1"/>
  <c r="L94" i="1"/>
  <c r="L30" i="1"/>
  <c r="L48" i="1"/>
  <c r="L144" i="1"/>
  <c r="L58" i="1"/>
  <c r="L35" i="1"/>
  <c r="L62" i="1"/>
  <c r="L2" i="1"/>
  <c r="L126" i="1"/>
  <c r="L80" i="1"/>
  <c r="L108" i="1"/>
  <c r="L70" i="1"/>
  <c r="L187" i="1"/>
  <c r="L57" i="1"/>
  <c r="L169" i="1"/>
  <c r="L137" i="1"/>
  <c r="L193" i="1"/>
  <c r="L162" i="1"/>
  <c r="L15" i="1"/>
  <c r="L119" i="1"/>
  <c r="L182" i="1"/>
  <c r="L96" i="1"/>
  <c r="L110" i="1"/>
  <c r="L97" i="1"/>
  <c r="L188" i="1"/>
  <c r="L90" i="1"/>
  <c r="L4" i="1"/>
  <c r="L186" i="1"/>
  <c r="L61" i="1"/>
  <c r="L37" i="1"/>
  <c r="L168" i="1"/>
  <c r="L151" i="1"/>
  <c r="L141" i="1"/>
  <c r="L82" i="1"/>
  <c r="L6" i="1"/>
  <c r="L164" i="1"/>
  <c r="L138" i="1"/>
  <c r="L56" i="1"/>
  <c r="L86" i="1"/>
  <c r="L195" i="1"/>
  <c r="L18" i="1"/>
  <c r="L128" i="1"/>
  <c r="L79" i="1"/>
  <c r="L3" i="1"/>
  <c r="L120" i="1"/>
  <c r="L127" i="1"/>
  <c r="L134" i="1"/>
  <c r="L111" i="1"/>
  <c r="L122" i="1"/>
  <c r="N76" i="1"/>
  <c r="L76" i="1"/>
  <c r="V515" i="2" l="1"/>
  <c r="V517" i="2"/>
  <c r="V513" i="2"/>
  <c r="V514" i="2"/>
  <c r="V512" i="2"/>
  <c r="K133" i="1"/>
  <c r="K66" i="1"/>
  <c r="K191" i="1"/>
  <c r="K20" i="1"/>
  <c r="K69" i="1"/>
  <c r="K165" i="1"/>
  <c r="K135" i="1"/>
  <c r="K26" i="1"/>
  <c r="K193" i="1"/>
  <c r="K4" i="1"/>
  <c r="K138" i="1"/>
  <c r="K134" i="1"/>
  <c r="K190" i="1"/>
  <c r="K2" i="1"/>
  <c r="K162" i="1"/>
  <c r="K186" i="1"/>
  <c r="K74" i="1"/>
  <c r="N66" i="1"/>
  <c r="K34" i="1"/>
  <c r="K8" i="1"/>
  <c r="K178" i="1"/>
  <c r="K99" i="1"/>
  <c r="K86" i="1"/>
  <c r="N105" i="1"/>
  <c r="K127" i="1"/>
  <c r="K189" i="1"/>
  <c r="K195" i="1"/>
  <c r="K174" i="1"/>
  <c r="K168" i="1"/>
  <c r="K44" i="1"/>
  <c r="K117" i="1"/>
  <c r="N99" i="1"/>
  <c r="K146" i="1"/>
  <c r="K143" i="1"/>
  <c r="K89" i="1"/>
  <c r="K43" i="1"/>
  <c r="K167" i="1"/>
  <c r="K136" i="1"/>
  <c r="K112" i="1"/>
  <c r="K9" i="1"/>
  <c r="K81" i="1"/>
  <c r="K29" i="1"/>
  <c r="K179" i="1"/>
  <c r="K33" i="1"/>
  <c r="K155" i="1"/>
  <c r="K65" i="1"/>
  <c r="K80" i="1"/>
  <c r="K119" i="1"/>
  <c r="K37" i="1"/>
  <c r="N134" i="1"/>
  <c r="N34" i="1"/>
  <c r="K14" i="1"/>
  <c r="K175" i="1"/>
  <c r="K24" i="1"/>
  <c r="K142" i="1"/>
  <c r="K123" i="1"/>
  <c r="K104" i="1"/>
  <c r="K100" i="1"/>
  <c r="K59" i="1"/>
  <c r="K78" i="1"/>
  <c r="K49" i="1"/>
  <c r="K103" i="1"/>
  <c r="K72" i="1"/>
  <c r="K87" i="1"/>
  <c r="K152" i="1"/>
  <c r="K94" i="1"/>
  <c r="K108" i="1"/>
  <c r="K182" i="1"/>
  <c r="K18" i="1"/>
  <c r="N86" i="1"/>
  <c r="N178" i="1"/>
  <c r="N191" i="1"/>
  <c r="K177" i="1"/>
  <c r="K77" i="1"/>
  <c r="K84" i="1"/>
  <c r="K185" i="1"/>
  <c r="K52" i="1"/>
  <c r="K93" i="1"/>
  <c r="K39" i="1"/>
  <c r="K107" i="1"/>
  <c r="K7" i="1"/>
  <c r="K54" i="1"/>
  <c r="K140" i="1"/>
  <c r="K147" i="1"/>
  <c r="K23" i="1"/>
  <c r="K17" i="1"/>
  <c r="K30" i="1"/>
  <c r="K70" i="1"/>
  <c r="K96" i="1"/>
  <c r="K151" i="1"/>
  <c r="K128" i="1"/>
  <c r="K46" i="1"/>
  <c r="K149" i="1"/>
  <c r="K83" i="1"/>
  <c r="K51" i="1"/>
  <c r="K113" i="1"/>
  <c r="K171" i="1"/>
  <c r="K67" i="1"/>
  <c r="K106" i="1"/>
  <c r="K73" i="1"/>
  <c r="K163" i="1"/>
  <c r="K145" i="1"/>
  <c r="K172" i="1"/>
  <c r="K194" i="1"/>
  <c r="K22" i="1"/>
  <c r="K48" i="1"/>
  <c r="K187" i="1"/>
  <c r="K110" i="1"/>
  <c r="K141" i="1"/>
  <c r="K79" i="1"/>
  <c r="K76" i="1"/>
  <c r="K55" i="1"/>
  <c r="K109" i="1"/>
  <c r="K156" i="1"/>
  <c r="K31" i="1"/>
  <c r="K154" i="1"/>
  <c r="K176" i="1"/>
  <c r="K116" i="1"/>
  <c r="K144" i="1"/>
  <c r="K57" i="1"/>
  <c r="K97" i="1"/>
  <c r="K82" i="1"/>
  <c r="K3" i="1"/>
  <c r="K159" i="1"/>
  <c r="K161" i="1"/>
  <c r="K169" i="1"/>
  <c r="K188" i="1"/>
  <c r="K6" i="1"/>
  <c r="K120" i="1"/>
  <c r="K130" i="1"/>
  <c r="K36" i="1"/>
  <c r="K53" i="1"/>
  <c r="K92" i="1"/>
  <c r="K85" i="1"/>
  <c r="K173" i="1"/>
  <c r="K58" i="1"/>
  <c r="K150" i="1"/>
  <c r="K88" i="1"/>
  <c r="K60" i="1"/>
  <c r="K16" i="1"/>
  <c r="K153" i="1"/>
  <c r="K35" i="1"/>
  <c r="K164" i="1"/>
  <c r="N193" i="1"/>
  <c r="N69" i="1"/>
  <c r="K40" i="1"/>
  <c r="K12" i="1"/>
  <c r="K68" i="1"/>
  <c r="K28" i="1"/>
  <c r="K64" i="1"/>
  <c r="K13" i="1"/>
  <c r="K63" i="1"/>
  <c r="K38" i="1"/>
  <c r="K62" i="1"/>
  <c r="K157" i="1"/>
  <c r="N8" i="1"/>
  <c r="K115" i="1"/>
  <c r="K19" i="1"/>
  <c r="K25" i="1"/>
  <c r="K125" i="1"/>
  <c r="K160" i="1"/>
  <c r="K196" i="1"/>
  <c r="K98" i="1"/>
  <c r="K71" i="1"/>
  <c r="K90" i="1"/>
  <c r="N2" i="1"/>
  <c r="N133" i="1"/>
  <c r="K41" i="1"/>
  <c r="K45" i="1"/>
  <c r="K50" i="1"/>
  <c r="K181" i="1"/>
  <c r="K105" i="1"/>
  <c r="K21" i="1"/>
  <c r="K139" i="1"/>
  <c r="K197" i="1"/>
  <c r="K131" i="1"/>
  <c r="K27" i="1"/>
  <c r="K184" i="1"/>
  <c r="K192" i="1"/>
  <c r="K32" i="1"/>
  <c r="K101" i="1"/>
  <c r="K56" i="1"/>
  <c r="K111" i="1"/>
  <c r="K118" i="1"/>
  <c r="K11" i="1"/>
  <c r="K129" i="1"/>
  <c r="K42" i="1"/>
  <c r="K148" i="1"/>
  <c r="K121" i="1"/>
  <c r="K124" i="1"/>
  <c r="K183" i="1"/>
  <c r="K158" i="1"/>
  <c r="K10" i="1"/>
  <c r="K91" i="1"/>
  <c r="K137" i="1"/>
  <c r="K47" i="1"/>
  <c r="K180" i="1"/>
  <c r="K114" i="1"/>
  <c r="K5" i="1"/>
  <c r="K132" i="1"/>
  <c r="K166" i="1"/>
  <c r="K102" i="1"/>
  <c r="K75" i="1"/>
  <c r="K170" i="1"/>
  <c r="K95" i="1"/>
  <c r="K126" i="1"/>
  <c r="K15" i="1"/>
  <c r="K61" i="1"/>
  <c r="K122" i="1"/>
  <c r="M86" i="1"/>
  <c r="M61" i="1"/>
  <c r="M126" i="1"/>
  <c r="M178" i="1"/>
  <c r="M95" i="1"/>
  <c r="M122" i="1"/>
  <c r="M15" i="1"/>
  <c r="M99" i="1"/>
  <c r="M180" i="1"/>
  <c r="M56" i="1"/>
  <c r="M192" i="1"/>
  <c r="M139" i="1"/>
  <c r="M164" i="1"/>
  <c r="M91" i="1"/>
  <c r="M160" i="1"/>
  <c r="M8" i="1"/>
  <c r="M114" i="1"/>
  <c r="M102" i="1"/>
  <c r="M5" i="1"/>
  <c r="M2" i="1"/>
  <c r="M27" i="1"/>
  <c r="M127" i="1"/>
  <c r="M35" i="1"/>
  <c r="M10" i="1"/>
  <c r="M98" i="1"/>
  <c r="M196" i="1"/>
  <c r="M183" i="1"/>
  <c r="M120" i="1"/>
  <c r="M6" i="1"/>
  <c r="M188" i="1"/>
  <c r="M169" i="1"/>
  <c r="M58" i="1"/>
  <c r="M125" i="1"/>
  <c r="M121" i="1"/>
  <c r="M161" i="1"/>
  <c r="M173" i="1"/>
  <c r="M148" i="1"/>
  <c r="M25" i="1"/>
  <c r="M42" i="1"/>
  <c r="M85" i="1"/>
  <c r="M19" i="1"/>
  <c r="M129" i="1"/>
  <c r="M92" i="1"/>
  <c r="M3" i="1"/>
  <c r="M57" i="1"/>
  <c r="M116" i="1"/>
  <c r="M156" i="1"/>
  <c r="M118" i="1"/>
  <c r="M55" i="1"/>
  <c r="M44" i="1"/>
  <c r="M141" i="1"/>
  <c r="M187" i="1"/>
  <c r="M22" i="1"/>
  <c r="M172" i="1"/>
  <c r="M163" i="1"/>
  <c r="M106" i="1"/>
  <c r="M67" i="1"/>
  <c r="M113" i="1"/>
  <c r="M51" i="1"/>
  <c r="M83" i="1"/>
  <c r="M149" i="1"/>
  <c r="M46" i="1"/>
  <c r="M166" i="1"/>
  <c r="M74" i="1"/>
  <c r="M101" i="1"/>
  <c r="M131" i="1"/>
  <c r="M90" i="1"/>
  <c r="M153" i="1"/>
  <c r="M16" i="1"/>
  <c r="M60" i="1"/>
  <c r="M88" i="1"/>
  <c r="M124" i="1"/>
  <c r="M159" i="1"/>
  <c r="M115" i="1"/>
  <c r="M11" i="1"/>
  <c r="M82" i="1"/>
  <c r="M144" i="1"/>
  <c r="M154" i="1"/>
  <c r="M109" i="1"/>
  <c r="M36" i="1"/>
  <c r="M174" i="1"/>
  <c r="M53" i="1"/>
  <c r="M79" i="1"/>
  <c r="M110" i="1"/>
  <c r="M48" i="1"/>
  <c r="M194" i="1"/>
  <c r="M145" i="1"/>
  <c r="M73" i="1"/>
  <c r="M171" i="1"/>
  <c r="M128" i="1"/>
  <c r="M151" i="1"/>
  <c r="M96" i="1"/>
  <c r="M70" i="1"/>
  <c r="M30" i="1"/>
  <c r="M17" i="1"/>
  <c r="M23" i="1"/>
  <c r="M147" i="1"/>
  <c r="M140" i="1"/>
  <c r="M54" i="1"/>
  <c r="M7" i="1"/>
  <c r="M107" i="1"/>
  <c r="M39" i="1"/>
  <c r="M93" i="1"/>
  <c r="M52" i="1"/>
  <c r="M185" i="1"/>
  <c r="M84" i="1"/>
  <c r="M77" i="1"/>
  <c r="M177" i="1"/>
  <c r="M76" i="1"/>
  <c r="M18" i="1"/>
  <c r="M168" i="1"/>
  <c r="M182" i="1"/>
  <c r="M108" i="1"/>
  <c r="M94" i="1"/>
  <c r="M152" i="1"/>
  <c r="M87" i="1"/>
  <c r="M72" i="1"/>
  <c r="M103" i="1"/>
  <c r="M49" i="1"/>
  <c r="M78" i="1"/>
  <c r="M59" i="1"/>
  <c r="M100" i="1"/>
  <c r="M104" i="1"/>
  <c r="M123" i="1"/>
  <c r="M142" i="1"/>
  <c r="M24" i="1"/>
  <c r="M175" i="1"/>
  <c r="M14" i="1"/>
  <c r="M170" i="1"/>
  <c r="M132" i="1"/>
  <c r="M186" i="1"/>
  <c r="M197" i="1"/>
  <c r="M137" i="1"/>
  <c r="M71" i="1"/>
  <c r="M133" i="1"/>
  <c r="M158" i="1"/>
  <c r="M150" i="1"/>
  <c r="M97" i="1"/>
  <c r="M176" i="1"/>
  <c r="M31" i="1"/>
  <c r="M157" i="1"/>
  <c r="M117" i="1"/>
  <c r="M130" i="1"/>
  <c r="M195" i="1"/>
  <c r="M37" i="1"/>
  <c r="M119" i="1"/>
  <c r="M80" i="1"/>
  <c r="M65" i="1"/>
  <c r="M155" i="1"/>
  <c r="M33" i="1"/>
  <c r="M179" i="1"/>
  <c r="M29" i="1"/>
  <c r="M81" i="1"/>
  <c r="M9" i="1"/>
  <c r="M112" i="1"/>
  <c r="M136" i="1"/>
  <c r="M167" i="1"/>
  <c r="M43" i="1"/>
  <c r="M89" i="1"/>
  <c r="M189" i="1"/>
  <c r="M143" i="1"/>
  <c r="M146" i="1"/>
  <c r="M47" i="1"/>
  <c r="M34" i="1"/>
  <c r="M111" i="1"/>
  <c r="M32" i="1"/>
  <c r="M184" i="1"/>
  <c r="M21" i="1"/>
  <c r="M45" i="1"/>
  <c r="M75" i="1"/>
  <c r="M162" i="1"/>
  <c r="M190" i="1"/>
  <c r="M105" i="1"/>
  <c r="M181" i="1"/>
  <c r="M50" i="1"/>
  <c r="M41" i="1"/>
  <c r="M134" i="1"/>
  <c r="M138" i="1"/>
  <c r="M4" i="1"/>
  <c r="M193" i="1"/>
  <c r="M62" i="1"/>
  <c r="M26" i="1"/>
  <c r="M135" i="1"/>
  <c r="M165" i="1"/>
  <c r="M38" i="1"/>
  <c r="M63" i="1"/>
  <c r="M69" i="1"/>
  <c r="M13" i="1"/>
  <c r="M20" i="1"/>
  <c r="M191" i="1"/>
  <c r="M66" i="1"/>
  <c r="M64" i="1"/>
  <c r="M28" i="1"/>
  <c r="M68" i="1"/>
  <c r="M12" i="1"/>
  <c r="M40" i="1"/>
  <c r="V518" i="2" l="1"/>
  <c r="O161" i="1"/>
  <c r="O150" i="1"/>
  <c r="O133" i="1"/>
  <c r="O65" i="1"/>
  <c r="O36" i="1"/>
  <c r="O132" i="1"/>
  <c r="O76" i="1"/>
  <c r="O103" i="1"/>
  <c r="O86" i="1"/>
  <c r="O107" i="1"/>
  <c r="O102" i="1"/>
  <c r="O63" i="1"/>
  <c r="O96" i="1"/>
  <c r="O15" i="1"/>
  <c r="O70" i="1"/>
  <c r="O125" i="1"/>
  <c r="O187" i="1"/>
  <c r="O51" i="1"/>
  <c r="O8" i="1"/>
  <c r="O59" i="1"/>
  <c r="O116" i="1"/>
  <c r="O165" i="1"/>
  <c r="O145" i="1"/>
  <c r="O75" i="1"/>
  <c r="O127" i="1"/>
  <c r="O10" i="1"/>
  <c r="O115" i="1"/>
  <c r="O72" i="1"/>
  <c r="O17" i="1"/>
  <c r="O68" i="1"/>
  <c r="O61" i="1"/>
  <c r="O159" i="1"/>
  <c r="O38" i="1"/>
  <c r="O12" i="1"/>
  <c r="O16" i="1"/>
  <c r="O124" i="1"/>
  <c r="O118" i="1"/>
  <c r="O176" i="1"/>
  <c r="O178" i="1"/>
  <c r="O92" i="1"/>
  <c r="O121" i="1"/>
  <c r="O140" i="1"/>
  <c r="O95" i="1"/>
  <c r="O106" i="1"/>
  <c r="O180" i="1"/>
  <c r="O109" i="1"/>
  <c r="O147" i="1"/>
  <c r="O78" i="1"/>
  <c r="O45" i="1"/>
  <c r="O73" i="1"/>
  <c r="O154" i="1"/>
  <c r="O49" i="1"/>
  <c r="O139" i="1"/>
  <c r="O89" i="1"/>
  <c r="O87" i="1"/>
  <c r="O105" i="1"/>
  <c r="O157" i="1"/>
  <c r="O27" i="1"/>
  <c r="O9" i="1"/>
  <c r="O23" i="1"/>
  <c r="O152" i="1"/>
  <c r="O164" i="1"/>
  <c r="O113" i="1"/>
  <c r="O131" i="1"/>
  <c r="O179" i="1"/>
  <c r="O32" i="1"/>
  <c r="O33" i="1"/>
  <c r="O53" i="1"/>
  <c r="O182" i="1"/>
  <c r="O129" i="1"/>
  <c r="O13" i="1"/>
  <c r="O21" i="1"/>
  <c r="O184" i="1"/>
  <c r="O162" i="1"/>
  <c r="O54" i="1"/>
  <c r="O98" i="1"/>
  <c r="O166" i="1"/>
  <c r="O97" i="1"/>
  <c r="O170" i="1"/>
  <c r="O112" i="1"/>
  <c r="O191" i="1"/>
  <c r="O177" i="1"/>
  <c r="O123" i="1"/>
  <c r="O57" i="1"/>
  <c r="O110" i="1"/>
  <c r="O100" i="1"/>
  <c r="O90" i="1"/>
  <c r="O143" i="1"/>
  <c r="O189" i="1"/>
  <c r="O163" i="1"/>
  <c r="O137" i="1"/>
  <c r="O82" i="1"/>
  <c r="O192" i="1"/>
  <c r="O126" i="1"/>
  <c r="O40" i="1"/>
  <c r="O18" i="1"/>
  <c r="O196" i="1"/>
  <c r="O3" i="1"/>
  <c r="O42" i="1"/>
  <c r="O81" i="1"/>
  <c r="O151" i="1"/>
  <c r="O66" i="1"/>
  <c r="O174" i="1"/>
  <c r="O25" i="1"/>
  <c r="O52" i="1"/>
  <c r="O80" i="1"/>
  <c r="O190" i="1"/>
  <c r="O46" i="1"/>
  <c r="O134" i="1"/>
  <c r="O24" i="1"/>
  <c r="O39" i="1"/>
  <c r="O141" i="1"/>
  <c r="O171" i="1"/>
  <c r="O29" i="1"/>
  <c r="O14" i="1"/>
  <c r="O58" i="1"/>
  <c r="O175" i="1"/>
  <c r="O60" i="1"/>
  <c r="O19" i="1"/>
  <c r="O168" i="1"/>
  <c r="O4" i="1"/>
  <c r="O158" i="1"/>
  <c r="O85" i="1"/>
  <c r="O50" i="1"/>
  <c r="O43" i="1"/>
  <c r="O108" i="1"/>
  <c r="O35" i="1"/>
  <c r="O2" i="1"/>
  <c r="O6" i="1"/>
  <c r="O197" i="1"/>
  <c r="O84" i="1"/>
  <c r="O77" i="1"/>
  <c r="O91" i="1"/>
  <c r="O41" i="1"/>
  <c r="O119" i="1"/>
  <c r="O64" i="1"/>
  <c r="O160" i="1"/>
  <c r="O55" i="1"/>
  <c r="O83" i="1"/>
  <c r="O7" i="1"/>
  <c r="O144" i="1"/>
  <c r="O148" i="1"/>
  <c r="O47" i="1"/>
  <c r="O114" i="1"/>
  <c r="O195" i="1"/>
  <c r="O101" i="1"/>
  <c r="O128" i="1"/>
  <c r="O181" i="1"/>
  <c r="O142" i="1"/>
  <c r="O156" i="1"/>
  <c r="O5" i="1"/>
  <c r="O149" i="1"/>
  <c r="O69" i="1"/>
  <c r="O48" i="1"/>
  <c r="O22" i="1"/>
  <c r="O138" i="1"/>
  <c r="O146" i="1"/>
  <c r="O169" i="1"/>
  <c r="O31" i="1"/>
  <c r="O20" i="1"/>
  <c r="O44" i="1"/>
  <c r="O188" i="1"/>
  <c r="O136" i="1"/>
  <c r="O94" i="1"/>
  <c r="O37" i="1"/>
  <c r="O193" i="1"/>
  <c r="O130" i="1"/>
  <c r="O155" i="1"/>
  <c r="O186" i="1"/>
  <c r="O122" i="1"/>
  <c r="O79" i="1"/>
  <c r="O93" i="1"/>
  <c r="O62" i="1"/>
  <c r="O88" i="1"/>
  <c r="O56" i="1"/>
  <c r="O120" i="1"/>
  <c r="O26" i="1"/>
  <c r="O153" i="1"/>
  <c r="O135" i="1"/>
  <c r="O28" i="1"/>
  <c r="O71" i="1"/>
  <c r="O183" i="1"/>
  <c r="O117" i="1"/>
  <c r="O67" i="1"/>
  <c r="O74" i="1"/>
  <c r="O11" i="1"/>
  <c r="O173" i="1"/>
  <c r="O185" i="1"/>
  <c r="O34" i="1"/>
  <c r="O172" i="1"/>
  <c r="O111" i="1"/>
  <c r="O167" i="1"/>
  <c r="O30" i="1"/>
  <c r="O104" i="1"/>
  <c r="O194" i="1"/>
  <c r="O99" i="1"/>
  <c r="H193" i="3" l="1"/>
</calcChain>
</file>

<file path=xl/sharedStrings.xml><?xml version="1.0" encoding="utf-8"?>
<sst xmlns="http://schemas.openxmlformats.org/spreadsheetml/2006/main" count="9636" uniqueCount="2542">
  <si>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</si>
  <si>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</si>
  <si>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</si>
  <si>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</si>
  <si>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</si>
  <si>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</si>
  <si>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</si>
  <si>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</si>
  <si>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</si>
  <si>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</si>
  <si>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</si>
  <si>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</si>
  <si>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</si>
  <si>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</si>
  <si>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</si>
  <si>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</si>
  <si>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</si>
  <si>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</si>
  <si>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</si>
  <si>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</si>
  <si>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</si>
  <si>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</si>
  <si>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</si>
  <si>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</si>
  <si>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</si>
  <si>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</si>
  <si>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</si>
  <si>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</si>
  <si>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</si>
  <si>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</si>
  <si>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</si>
  <si>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</si>
  <si>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</si>
  <si>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</si>
  <si>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</si>
  <si>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</si>
  <si>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</si>
  <si>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Croatia</t>
  </si>
  <si>
    <t>Cuba</t>
  </si>
  <si>
    <t>Czech Republic</t>
  </si>
  <si>
    <t>Democratic Republic of the Congo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</si>
  <si>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</si>
  <si>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</si>
  <si>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</si>
  <si>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</si>
  <si>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</si>
  <si>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</si>
  <si>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</si>
  <si>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</si>
  <si>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</si>
  <si>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</si>
  <si>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</si>
  <si>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</si>
  <si>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</si>
  <si>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</si>
  <si>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</si>
  <si>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Gabon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</si>
  <si>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</si>
  <si>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</si>
  <si>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</si>
  <si>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</si>
  <si>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</si>
  <si>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</si>
  <si>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</si>
  <si>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</si>
  <si>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</si>
  <si>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</si>
  <si>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</si>
  <si>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</si>
  <si>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</si>
  <si>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</si>
  <si>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</si>
  <si>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</si>
  <si>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</si>
  <si>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</si>
  <si>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</si>
  <si>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</si>
  <si>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</si>
  <si>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</si>
  <si>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</si>
  <si>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</si>
  <si>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</si>
  <si>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</si>
  <si>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</si>
  <si>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</si>
  <si>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</si>
  <si>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</si>
  <si>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</si>
  <si>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</si>
  <si>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</si>
  <si>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</si>
  <si>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</si>
  <si>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</si>
  <si>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</si>
  <si>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</si>
  <si>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</si>
  <si>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</si>
  <si>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</si>
  <si>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</si>
  <si>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</si>
  <si>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</si>
  <si>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</si>
  <si>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</si>
  <si>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Moldova</t>
  </si>
  <si>
    <t>Monaco</t>
  </si>
  <si>
    <t>Mongolia</t>
  </si>
  <si>
    <t>Montenegro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</si>
  <si>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</si>
  <si>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</si>
  <si>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</si>
  <si>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</si>
  <si>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</si>
  <si>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</si>
  <si>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</si>
  <si>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</si>
  <si>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</si>
  <si>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</si>
  <si>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Korea</t>
  </si>
  <si>
    <t>North Macedonia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</si>
  <si>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</si>
  <si>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</si>
  <si>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</si>
  <si>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</si>
  <si>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</si>
  <si>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</si>
  <si>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</si>
  <si>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</si>
  <si>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</si>
  <si>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</si>
  <si>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</si>
  <si>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the Congo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</si>
  <si>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</si>
  <si>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</si>
  <si>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</si>
  <si>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</si>
  <si>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</si>
  <si>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</si>
  <si>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</si>
  <si>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</si>
  <si>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</si>
  <si>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</si>
  <si>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</si>
  <si>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</si>
  <si>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</si>
  <si>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</si>
  <si>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</si>
  <si>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</si>
  <si>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</si>
  <si>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</si>
  <si>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</si>
  <si>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</si>
  <si>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</si>
  <si>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</si>
  <si>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</si>
  <si>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</si>
  <si>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</si>
  <si>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</si>
  <si>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</si>
  <si>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</si>
  <si>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</si>
  <si>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</si>
  <si>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</si>
  <si>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</si>
  <si>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</si>
  <si>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</si>
  <si>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</si>
  <si>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</si>
  <si>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</si>
  <si>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</si>
  <si>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</si>
  <si>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</si>
  <si>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</si>
  <si>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</si>
  <si>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</si>
  <si>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</si>
  <si>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</si>
  <si>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</si>
  <si>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Vatican City</t>
  </si>
  <si>
    <t>Venezuela</t>
  </si>
  <si>
    <t>Vietnam</t>
  </si>
  <si>
    <t>Yemen</t>
  </si>
  <si>
    <t>Zambia</t>
  </si>
  <si>
    <t>Zimbabwe</t>
  </si>
  <si>
    <t>Pop</t>
  </si>
  <si>
    <t>France</t>
  </si>
  <si>
    <t>Morocco</t>
  </si>
  <si>
    <t>Norway</t>
  </si>
  <si>
    <t>Serbia</t>
  </si>
  <si>
    <t>Capital</t>
  </si>
  <si>
    <t>Kabul</t>
  </si>
  <si>
    <t>Tirana</t>
  </si>
  <si>
    <t>Algiers</t>
  </si>
  <si>
    <t>Georgia</t>
  </si>
  <si>
    <t>Israel</t>
  </si>
  <si>
    <t>Andorra la Vella</t>
  </si>
  <si>
    <t>Luanda</t>
  </si>
  <si>
    <t>St. John's</t>
  </si>
  <si>
    <t>Buenos Aires</t>
  </si>
  <si>
    <t>Yerevan</t>
  </si>
  <si>
    <t>Canberra</t>
  </si>
  <si>
    <t>Vienna</t>
  </si>
  <si>
    <t>Baku</t>
  </si>
  <si>
    <t>Manama</t>
  </si>
  <si>
    <t>Dhaka</t>
  </si>
  <si>
    <t>Bridgetown</t>
  </si>
  <si>
    <t>Minsk</t>
  </si>
  <si>
    <t>Independence</t>
  </si>
  <si>
    <t>Year</t>
  </si>
  <si>
    <t>Brussels</t>
  </si>
  <si>
    <t>Belmopan</t>
  </si>
  <si>
    <t>Changed from Dahomey 1975</t>
  </si>
  <si>
    <t>Porto Novo</t>
  </si>
  <si>
    <t>Thimphu</t>
  </si>
  <si>
    <t>La Paz</t>
  </si>
  <si>
    <t>Sarajevo</t>
  </si>
  <si>
    <t>Gabarone</t>
  </si>
  <si>
    <t>Brasilia</t>
  </si>
  <si>
    <t>Bandar Seri Begawan</t>
  </si>
  <si>
    <t>Sofia</t>
  </si>
  <si>
    <t>Ouagadougou</t>
  </si>
  <si>
    <t>Changed from Upper Volta 1984</t>
  </si>
  <si>
    <t>Gitega</t>
  </si>
  <si>
    <t>Cape Verde</t>
  </si>
  <si>
    <t>Praia</t>
  </si>
  <si>
    <t>Phnom Penh</t>
  </si>
  <si>
    <t>Yaounde</t>
  </si>
  <si>
    <t>Ottawa</t>
  </si>
  <si>
    <t>Bangui</t>
  </si>
  <si>
    <t>N'Djamena</t>
  </si>
  <si>
    <t>Santiago</t>
  </si>
  <si>
    <t>Beijing</t>
  </si>
  <si>
    <t>Bogota</t>
  </si>
  <si>
    <t>Moroni</t>
  </si>
  <si>
    <t>San Jose</t>
  </si>
  <si>
    <t>Ivory Coast</t>
  </si>
  <si>
    <t>Yamoussoukro</t>
  </si>
  <si>
    <t>Zagreb</t>
  </si>
  <si>
    <t>Havana</t>
  </si>
  <si>
    <t>Cyprus</t>
  </si>
  <si>
    <t>Nicosia</t>
  </si>
  <si>
    <t>Prague</t>
  </si>
  <si>
    <t>Kinshasa</t>
  </si>
  <si>
    <t>Copenhagen</t>
  </si>
  <si>
    <t>Djibouti City</t>
  </si>
  <si>
    <t>Roseau</t>
  </si>
  <si>
    <t>Santo Domingo</t>
  </si>
  <si>
    <t>Dili</t>
  </si>
  <si>
    <t>Quito</t>
  </si>
  <si>
    <t>Cairo</t>
  </si>
  <si>
    <t>San Salvador</t>
  </si>
  <si>
    <t>Ciudad de la Paz</t>
  </si>
  <si>
    <t>Asmara</t>
  </si>
  <si>
    <t>Tallinn</t>
  </si>
  <si>
    <t>Mbabane</t>
  </si>
  <si>
    <t>Addis Ababa</t>
  </si>
  <si>
    <t>Suva</t>
  </si>
  <si>
    <t>Helsinki</t>
  </si>
  <si>
    <t>Paris</t>
  </si>
  <si>
    <t>Freetown</t>
  </si>
  <si>
    <t>Libreville</t>
  </si>
  <si>
    <t>Tblisi</t>
  </si>
  <si>
    <t>Berlin</t>
  </si>
  <si>
    <t>Accra</t>
  </si>
  <si>
    <t>Athens</t>
  </si>
  <si>
    <t>St. George's</t>
  </si>
  <si>
    <t>Guatemala City</t>
  </si>
  <si>
    <t>Conakry</t>
  </si>
  <si>
    <t>Changed from Swaziland 2018</t>
  </si>
  <si>
    <t>Federated States of Micronesia</t>
  </si>
  <si>
    <t>Bahamas</t>
  </si>
  <si>
    <t>Gambia</t>
  </si>
  <si>
    <t>Bissau</t>
  </si>
  <si>
    <t>Georgetown</t>
  </si>
  <si>
    <t>Port-au-Prince</t>
  </si>
  <si>
    <t>Tegucigalpa</t>
  </si>
  <si>
    <t>Budapest</t>
  </si>
  <si>
    <t>Reykjavik</t>
  </si>
  <si>
    <t>New Delhi</t>
  </si>
  <si>
    <t>Jakarta</t>
  </si>
  <si>
    <t>Tehran</t>
  </si>
  <si>
    <t>Country</t>
  </si>
  <si>
    <t>Yaren</t>
  </si>
  <si>
    <t>Nassau</t>
  </si>
  <si>
    <t>Palikir</t>
  </si>
  <si>
    <t>Banjul</t>
  </si>
  <si>
    <t>Baghdad</t>
  </si>
  <si>
    <t>Dublin</t>
  </si>
  <si>
    <t>Jerusalem</t>
  </si>
  <si>
    <t>Rome</t>
  </si>
  <si>
    <t>Kingston</t>
  </si>
  <si>
    <t>Tokyo</t>
  </si>
  <si>
    <t>Amman</t>
  </si>
  <si>
    <t>Astana</t>
  </si>
  <si>
    <t>Nairobi</t>
  </si>
  <si>
    <t>South Tarawa</t>
  </si>
  <si>
    <t>Tarawa</t>
  </si>
  <si>
    <t>Pristina</t>
  </si>
  <si>
    <t>Kuwait City</t>
  </si>
  <si>
    <t>Bishkek</t>
  </si>
  <si>
    <t>Vientiane</t>
  </si>
  <si>
    <t>Riga</t>
  </si>
  <si>
    <t>Beirut</t>
  </si>
  <si>
    <t>Maseru</t>
  </si>
  <si>
    <t>Monrovia</t>
  </si>
  <si>
    <t>Tripoli</t>
  </si>
  <si>
    <t>Vaduz</t>
  </si>
  <si>
    <t>Vilnius</t>
  </si>
  <si>
    <t>Antananarivo</t>
  </si>
  <si>
    <t>Lilongwe</t>
  </si>
  <si>
    <t>Kuala Lumpur</t>
  </si>
  <si>
    <t>Male</t>
  </si>
  <si>
    <t>Bamako</t>
  </si>
  <si>
    <t>Valletta</t>
  </si>
  <si>
    <t>Majuro</t>
  </si>
  <si>
    <t>Nuoakchott</t>
  </si>
  <si>
    <t>Port Louis</t>
  </si>
  <si>
    <t>Mexico City</t>
  </si>
  <si>
    <t>Chisinau</t>
  </si>
  <si>
    <t>Ulaanbaatar</t>
  </si>
  <si>
    <t>Podgorica</t>
  </si>
  <si>
    <t>Rabat</t>
  </si>
  <si>
    <t>Maputo</t>
  </si>
  <si>
    <t>Changed from Burma 1989</t>
  </si>
  <si>
    <t>Nay Pyi Daw</t>
  </si>
  <si>
    <t>Windhoek</t>
  </si>
  <si>
    <t>Kathmandu</t>
  </si>
  <si>
    <t>Amsterdam</t>
  </si>
  <si>
    <t>Wellington</t>
  </si>
  <si>
    <t>Managua</t>
  </si>
  <si>
    <t>Niamey</t>
  </si>
  <si>
    <t>Abuja</t>
  </si>
  <si>
    <t>Pyongyang</t>
  </si>
  <si>
    <t>Skopje</t>
  </si>
  <si>
    <t>Oslo</t>
  </si>
  <si>
    <t>Muscat</t>
  </si>
  <si>
    <t>Islamabad</t>
  </si>
  <si>
    <t>Ngerulmud</t>
  </si>
  <si>
    <t>Panama City</t>
  </si>
  <si>
    <t>Port Moresby</t>
  </si>
  <si>
    <t>Asuncion</t>
  </si>
  <si>
    <t>Lima</t>
  </si>
  <si>
    <t>Manila</t>
  </si>
  <si>
    <t>Warsaw</t>
  </si>
  <si>
    <t>Lisbon</t>
  </si>
  <si>
    <t>Doha</t>
  </si>
  <si>
    <t>Brazzaville</t>
  </si>
  <si>
    <t>Bucharest</t>
  </si>
  <si>
    <t>Moscow</t>
  </si>
  <si>
    <t>Kigali</t>
  </si>
  <si>
    <t>Basseterre</t>
  </si>
  <si>
    <t>Castries</t>
  </si>
  <si>
    <t>Kingstown</t>
  </si>
  <si>
    <t>Apia</t>
  </si>
  <si>
    <t>Sao Tome</t>
  </si>
  <si>
    <t>Riyadh</t>
  </si>
  <si>
    <t>Dakar</t>
  </si>
  <si>
    <t>Belgrade</t>
  </si>
  <si>
    <t>Victoria</t>
  </si>
  <si>
    <t>Bratislava</t>
  </si>
  <si>
    <t>Ljubljana</t>
  </si>
  <si>
    <t>Honiara</t>
  </si>
  <si>
    <t>Mogadishu</t>
  </si>
  <si>
    <t>Pretoria</t>
  </si>
  <si>
    <t>Seoul</t>
  </si>
  <si>
    <t>Juba</t>
  </si>
  <si>
    <t>Madrid</t>
  </si>
  <si>
    <t>Sri Jayawardenepura Kotte</t>
  </si>
  <si>
    <t>Khartoum</t>
  </si>
  <si>
    <t>Paramaribo</t>
  </si>
  <si>
    <t>Stockholm</t>
  </si>
  <si>
    <t>Bern</t>
  </si>
  <si>
    <t>Damascus</t>
  </si>
  <si>
    <t>Taipei</t>
  </si>
  <si>
    <t>Dushanbe</t>
  </si>
  <si>
    <t>Changed from Ceylon 1972</t>
  </si>
  <si>
    <t>Dodoma</t>
  </si>
  <si>
    <t>Changed from Siam in 1939</t>
  </si>
  <si>
    <t>Bangkok</t>
  </si>
  <si>
    <t>Lome</t>
  </si>
  <si>
    <t>Nuku'alofa</t>
  </si>
  <si>
    <t>Port of Spain</t>
  </si>
  <si>
    <t>Tunis</t>
  </si>
  <si>
    <t>Ankara</t>
  </si>
  <si>
    <t>Ashgabat</t>
  </si>
  <si>
    <t>Funafuti</t>
  </si>
  <si>
    <t>Kampala</t>
  </si>
  <si>
    <t>Kyiv</t>
  </si>
  <si>
    <t>Abu Dhabi</t>
  </si>
  <si>
    <t>London</t>
  </si>
  <si>
    <t>United States of America</t>
  </si>
  <si>
    <t>Washington, D. C.</t>
  </si>
  <si>
    <t>Montevideo</t>
  </si>
  <si>
    <t>Tashkent</t>
  </si>
  <si>
    <t>Port Vila</t>
  </si>
  <si>
    <t>Caracas</t>
  </si>
  <si>
    <t>Hanoi</t>
  </si>
  <si>
    <t>Sanaa</t>
  </si>
  <si>
    <t>Lusaka</t>
  </si>
  <si>
    <t>Harare</t>
  </si>
  <si>
    <t>Changed from Rhodesia 1980</t>
  </si>
  <si>
    <t>1965-08-09</t>
  </si>
  <si>
    <t>1929-02-11</t>
  </si>
  <si>
    <t>1973-07-10</t>
  </si>
  <si>
    <t>1977-06-27</t>
  </si>
  <si>
    <t>1978-10-01</t>
  </si>
  <si>
    <t>1961-06-19</t>
  </si>
  <si>
    <t>1979-05-01</t>
  </si>
  <si>
    <t>1979-07-12</t>
  </si>
  <si>
    <t>1924-11-26</t>
  </si>
  <si>
    <t>1971-08-14</t>
  </si>
  <si>
    <t>1966-11-30</t>
  </si>
  <si>
    <t>1946-05-25</t>
  </si>
  <si>
    <t>1991-09-23</t>
  </si>
  <si>
    <t>1975-11-25</t>
  </si>
  <si>
    <t>1965-07-26</t>
  </si>
  <si>
    <t>1971-09-01</t>
  </si>
  <si>
    <t>1991-04-09</t>
  </si>
  <si>
    <t>1944-06-17</t>
  </si>
  <si>
    <t>1991-08-20</t>
  </si>
  <si>
    <t>1960-08-15</t>
  </si>
  <si>
    <t>1975-07-05</t>
  </si>
  <si>
    <t>1991-08-21</t>
  </si>
  <si>
    <t>1983-09-19</t>
  </si>
  <si>
    <t>1960-11-28</t>
  </si>
  <si>
    <t>1975-07-12</t>
  </si>
  <si>
    <t>1991-08-27</t>
  </si>
  <si>
    <t>1991-09-08</t>
  </si>
  <si>
    <t>1974-02-07</t>
  </si>
  <si>
    <t>1976-06-29</t>
  </si>
  <si>
    <t>1958-11-28</t>
  </si>
  <si>
    <t>1970-06-04</t>
  </si>
  <si>
    <t>1992-04-27</t>
  </si>
  <si>
    <t>1973-09-24</t>
  </si>
  <si>
    <t>1975-11-11</t>
  </si>
  <si>
    <t>1962-08-06</t>
  </si>
  <si>
    <t>1978-11-03</t>
  </si>
  <si>
    <t>1991-10-18</t>
  </si>
  <si>
    <t>1991-08-25</t>
  </si>
  <si>
    <t>1955-07-27</t>
  </si>
  <si>
    <t>1981-11-01</t>
  </si>
  <si>
    <t>1932-09-23</t>
  </si>
  <si>
    <t>1990-03-11</t>
  </si>
  <si>
    <t>1908-10-05</t>
  </si>
  <si>
    <t>1991-06-25</t>
  </si>
  <si>
    <t>1975-11-28</t>
  </si>
  <si>
    <t>1912-11-28</t>
  </si>
  <si>
    <t>1902-05-20</t>
  </si>
  <si>
    <t>1971-12-02</t>
  </si>
  <si>
    <t>1948-08-15</t>
  </si>
  <si>
    <t>1992-01-01</t>
  </si>
  <si>
    <t>1932-10-03</t>
  </si>
  <si>
    <t>1960-04-27</t>
  </si>
  <si>
    <t>1971-04-19</t>
  </si>
  <si>
    <t>1960-09-22</t>
  </si>
  <si>
    <t>1960-06-30</t>
  </si>
  <si>
    <t>1962-01-01</t>
  </si>
  <si>
    <t>1991-05-24</t>
  </si>
  <si>
    <t>1966-05-26</t>
  </si>
  <si>
    <t>1984-01-01</t>
  </si>
  <si>
    <t>1966-10-04</t>
  </si>
  <si>
    <t>1960-07-01</t>
  </si>
  <si>
    <t>1990-03-21</t>
  </si>
  <si>
    <t>1991-08-31</t>
  </si>
  <si>
    <t>1951-12-24</t>
  </si>
  <si>
    <t>1919-08-19</t>
  </si>
  <si>
    <t>1900-01-01</t>
  </si>
  <si>
    <t>2008-02-17</t>
  </si>
  <si>
    <t>1980-07-30</t>
  </si>
  <si>
    <t>1990-08-22</t>
  </si>
  <si>
    <t>1961-10-01</t>
  </si>
  <si>
    <t>1953-11-09</t>
  </si>
  <si>
    <t>1905-06-07</t>
  </si>
  <si>
    <t>1993-01-01</t>
  </si>
  <si>
    <t>1975-07-06</t>
  </si>
  <si>
    <t>1932-06-24</t>
  </si>
  <si>
    <t>1962-07-01</t>
  </si>
  <si>
    <t>1958-12-01</t>
  </si>
  <si>
    <t>1917-12-06</t>
  </si>
  <si>
    <t>1948-07-10</t>
  </si>
  <si>
    <t>1963-03-08</t>
  </si>
  <si>
    <t>1991-09-09</t>
  </si>
  <si>
    <t>1979-10-27</t>
  </si>
  <si>
    <t>1958-10-02</t>
  </si>
  <si>
    <t>1979-02-22</t>
  </si>
  <si>
    <t>1964-12-12</t>
  </si>
  <si>
    <t>1968-03-12</t>
  </si>
  <si>
    <t>1970-10-10</t>
  </si>
  <si>
    <t>1948-05-14</t>
  </si>
  <si>
    <t>1948-01-01</t>
  </si>
  <si>
    <t>1978-07-07</t>
  </si>
  <si>
    <t>1953-10-22</t>
  </si>
  <si>
    <t>1949-12-07</t>
  </si>
  <si>
    <t>1964-10-24</t>
  </si>
  <si>
    <t>1960-08-05</t>
  </si>
  <si>
    <t>1966-09-30</t>
  </si>
  <si>
    <t>1922-02-28</t>
  </si>
  <si>
    <t>1903-11-03</t>
  </si>
  <si>
    <t>1965-11-11</t>
  </si>
  <si>
    <t>1962-07-05</t>
  </si>
  <si>
    <t>1991-12-12</t>
  </si>
  <si>
    <t>1976-07-02</t>
  </si>
  <si>
    <t>1991-09-01</t>
  </si>
  <si>
    <t>1992-03-03</t>
  </si>
  <si>
    <t>1991-12-10</t>
  </si>
  <si>
    <t>1968-09-06</t>
  </si>
  <si>
    <t>1943-11-22</t>
  </si>
  <si>
    <t>1990-05-22</t>
  </si>
  <si>
    <t>1991-08-24</t>
  </si>
  <si>
    <t>1923-07-24</t>
  </si>
  <si>
    <t>1981-09-21</t>
  </si>
  <si>
    <t>1960-06-20</t>
  </si>
  <si>
    <t>1979-05-10</t>
  </si>
  <si>
    <t>1968-01-31</t>
  </si>
  <si>
    <t>1963-09-16</t>
  </si>
  <si>
    <t>1971-03-26</t>
  </si>
  <si>
    <t>1956-03-20</t>
  </si>
  <si>
    <t>1975-09-16</t>
  </si>
  <si>
    <t>1966-07-06</t>
  </si>
  <si>
    <t>1960-08-16</t>
  </si>
  <si>
    <t>1960-08-11</t>
  </si>
  <si>
    <t>1907-09-26</t>
  </si>
  <si>
    <t>1956-01-01</t>
  </si>
  <si>
    <t>1960-06-26</t>
  </si>
  <si>
    <t>1963-10-09</t>
  </si>
  <si>
    <t>1960-08-03</t>
  </si>
  <si>
    <t>1945-08-17</t>
  </si>
  <si>
    <t>1942-01-31</t>
  </si>
  <si>
    <t>1962-08-31</t>
  </si>
  <si>
    <t>2011-07-09</t>
  </si>
  <si>
    <t>1975-06-25</t>
  </si>
  <si>
    <t>1923-12-21</t>
  </si>
  <si>
    <t>1960-08-01</t>
  </si>
  <si>
    <t>1981-01-01</t>
  </si>
  <si>
    <t>1901-01-01</t>
  </si>
  <si>
    <t>1946-07-04</t>
  </si>
  <si>
    <t>1948-01-04</t>
  </si>
  <si>
    <t>1956-11-18</t>
  </si>
  <si>
    <t>1960-08-07</t>
  </si>
  <si>
    <t>1965-02-18</t>
  </si>
  <si>
    <t>1931-12-11</t>
  </si>
  <si>
    <t>1964-04-26</t>
  </si>
  <si>
    <t>1964-09-21</t>
  </si>
  <si>
    <t>1957-03-06</t>
  </si>
  <si>
    <t>1960-10-01</t>
  </si>
  <si>
    <t>1948-02-04</t>
  </si>
  <si>
    <t>1947-08-14</t>
  </si>
  <si>
    <t>1968-10-12</t>
  </si>
  <si>
    <t>1950-01-26</t>
  </si>
  <si>
    <t>1776-07-04</t>
  </si>
  <si>
    <t>1803-10-04</t>
  </si>
  <si>
    <t>1648-10-24</t>
  </si>
  <si>
    <t>1822-09-07</t>
  </si>
  <si>
    <t>1867-07-01</t>
  </si>
  <si>
    <t>1861-02-11</t>
  </si>
  <si>
    <t>843-01-01</t>
  </si>
  <si>
    <t>1825-08-25</t>
  </si>
  <si>
    <t>1696-01-01</t>
  </si>
  <si>
    <t>1847-07-26</t>
  </si>
  <si>
    <t>1818-02-12</t>
  </si>
  <si>
    <t>1824-12-09</t>
  </si>
  <si>
    <t>1814-01-01</t>
  </si>
  <si>
    <t>1890-11-23</t>
  </si>
  <si>
    <t>1000-01-01</t>
  </si>
  <si>
    <t>1838-04-30</t>
  </si>
  <si>
    <t>1810-07-20</t>
  </si>
  <si>
    <t>1866-08-23</t>
  </si>
  <si>
    <t>1838-11-05</t>
  </si>
  <si>
    <t>1801-01-01</t>
  </si>
  <si>
    <t>1291-01-01</t>
  </si>
  <si>
    <t>710-01-01</t>
  </si>
  <si>
    <t>1849-06-05</t>
  </si>
  <si>
    <t>1830-05-13</t>
  </si>
  <si>
    <t>1877-05-10</t>
  </si>
  <si>
    <t>1825-04-17</t>
  </si>
  <si>
    <t>1523-06-06</t>
  </si>
  <si>
    <t>1830-01-13</t>
  </si>
  <si>
    <t>1844-02-27</t>
  </si>
  <si>
    <t>1841-01-30</t>
  </si>
  <si>
    <t>1811-05-14</t>
  </si>
  <si>
    <t>1839-04-17</t>
  </si>
  <si>
    <t>1516-03-14</t>
  </si>
  <si>
    <t>1822-01-01</t>
  </si>
  <si>
    <t>1821-09-07</t>
  </si>
  <si>
    <t>1838-11-14</t>
  </si>
  <si>
    <t>1816-07-09</t>
  </si>
  <si>
    <t>1825-08-06</t>
  </si>
  <si>
    <t>1128-06-24</t>
  </si>
  <si>
    <t>1648-01-30</t>
  </si>
  <si>
    <t>1025-04-18</t>
  </si>
  <si>
    <t>1861-03-17</t>
  </si>
  <si>
    <t>1871-01-10</t>
  </si>
  <si>
    <t>-221-01-01</t>
  </si>
  <si>
    <t>-550-01-01</t>
  </si>
  <si>
    <t>Area</t>
  </si>
  <si>
    <t>AreaRank</t>
  </si>
  <si>
    <t>PopRank</t>
  </si>
  <si>
    <t>YearRank</t>
  </si>
  <si>
    <t>CapPop</t>
  </si>
  <si>
    <t>CapPopRank</t>
  </si>
  <si>
    <t>Density</t>
  </si>
  <si>
    <t>DensRank</t>
  </si>
  <si>
    <t>CityShare</t>
  </si>
  <si>
    <t>ShareRank</t>
  </si>
  <si>
    <t>NameChanges</t>
  </si>
  <si>
    <t>Continent</t>
  </si>
  <si>
    <t>Asia</t>
  </si>
  <si>
    <t>Europe</t>
  </si>
  <si>
    <t>North America</t>
  </si>
  <si>
    <t>Africa</t>
  </si>
  <si>
    <t>Oceania</t>
  </si>
  <si>
    <t>South America</t>
  </si>
  <si>
    <t>Begin</t>
  </si>
  <si>
    <t>End</t>
  </si>
  <si>
    <t>NA</t>
  </si>
  <si>
    <t>French Somaliland</t>
  </si>
  <si>
    <t>German New Guinea</t>
  </si>
  <si>
    <t>Finschhafen</t>
  </si>
  <si>
    <t>Friedrich-Wilhelmshafen</t>
  </si>
  <si>
    <t>Herbertshohe</t>
  </si>
  <si>
    <t>Simpsonhafen</t>
  </si>
  <si>
    <t>South Seas Mandate</t>
  </si>
  <si>
    <t>Koror City</t>
  </si>
  <si>
    <t>Trust Territory of the Pacific Islands</t>
  </si>
  <si>
    <t>Saipan</t>
  </si>
  <si>
    <t>x</t>
  </si>
  <si>
    <t>Gilbert and Ellice Islands Colony</t>
  </si>
  <si>
    <t>None</t>
  </si>
  <si>
    <t>Gilbert and Ellice Islands Protectorate</t>
  </si>
  <si>
    <t>Ocean Island</t>
  </si>
  <si>
    <t>German Samoa</t>
  </si>
  <si>
    <t>Territory of Western Samoa</t>
  </si>
  <si>
    <t>New Hebrides Condominium</t>
  </si>
  <si>
    <t>Levuka</t>
  </si>
  <si>
    <t>British Solomon Islands</t>
  </si>
  <si>
    <t>Tulagi</t>
  </si>
  <si>
    <t>Nauru Mandate</t>
  </si>
  <si>
    <t>Territory of New Guinea</t>
  </si>
  <si>
    <t>Rabaul</t>
  </si>
  <si>
    <t>Lae</t>
  </si>
  <si>
    <t>Mandate of New Guinea</t>
  </si>
  <si>
    <t>Auckland</t>
  </si>
  <si>
    <t>Colony of New South Wales</t>
  </si>
  <si>
    <t>Sydney</t>
  </si>
  <si>
    <t>Melbourne</t>
  </si>
  <si>
    <t>Viceroyalty of the Rio de la Plata</t>
  </si>
  <si>
    <t>United Provinces of the Rio de la Plata</t>
  </si>
  <si>
    <t>Viceroyalty of Peru</t>
  </si>
  <si>
    <t>Dutch Guiana</t>
  </si>
  <si>
    <t>British Guiana</t>
  </si>
  <si>
    <t>Gran Colombia</t>
  </si>
  <si>
    <t>New Granada</t>
  </si>
  <si>
    <t>Year =&gt;</t>
  </si>
  <si>
    <t>Filter</t>
  </si>
  <si>
    <t>Colonial Brazil</t>
  </si>
  <si>
    <t>Salvador</t>
  </si>
  <si>
    <t>Rio de Janeiro</t>
  </si>
  <si>
    <t>United Kingdom of Portugal, Brazil, and the Algarves</t>
  </si>
  <si>
    <t>Empire of Brazil</t>
  </si>
  <si>
    <t>United States of Colombia</t>
  </si>
  <si>
    <t>Santafé de Bogota</t>
  </si>
  <si>
    <t>Type</t>
  </si>
  <si>
    <t>Parent</t>
  </si>
  <si>
    <t>State of Singapore</t>
  </si>
  <si>
    <t>Colony of Singapore</t>
  </si>
  <si>
    <t>Straits Settlements</t>
  </si>
  <si>
    <t>George Town</t>
  </si>
  <si>
    <t>ID</t>
  </si>
  <si>
    <t>Republic of Singapore</t>
  </si>
  <si>
    <t>SGP_1965</t>
  </si>
  <si>
    <t>SGP_1963_MLY</t>
  </si>
  <si>
    <t>SGP_1946_UK</t>
  </si>
  <si>
    <t>SGP_1959_UK</t>
  </si>
  <si>
    <t>STR_1826</t>
  </si>
  <si>
    <t>DisplayName</t>
  </si>
  <si>
    <t>OfficialName</t>
  </si>
  <si>
    <t>Predecessor</t>
  </si>
  <si>
    <t>State of Kuwait</t>
  </si>
  <si>
    <t>KUW_1961</t>
  </si>
  <si>
    <t>Emirate of Kuwait</t>
  </si>
  <si>
    <t>KUW_1899_UK</t>
  </si>
  <si>
    <t>KUW_1752_OT</t>
  </si>
  <si>
    <t>Ottoman Empire</t>
  </si>
  <si>
    <t>Commonwealth of the Bahamas</t>
  </si>
  <si>
    <t>Sovereign</t>
  </si>
  <si>
    <t>Dependent</t>
  </si>
  <si>
    <t>Crown Colony of the Bahamas</t>
  </si>
  <si>
    <t>Colony of the Bahamas</t>
  </si>
  <si>
    <t>TUV_1978</t>
  </si>
  <si>
    <t>Gilbert and Ellice Islands</t>
  </si>
  <si>
    <t>GEI_1892_UK</t>
  </si>
  <si>
    <t>Colony of Gilbert Islands</t>
  </si>
  <si>
    <t>Gilbert Islands</t>
  </si>
  <si>
    <t>GIL_1976_UK</t>
  </si>
  <si>
    <t>KIR_1979</t>
  </si>
  <si>
    <t>Republic of Kiribati</t>
  </si>
  <si>
    <t>TUV_1976_UK</t>
  </si>
  <si>
    <t>Colony of Tuvalu</t>
  </si>
  <si>
    <t>Republic of the Marshall Islands</t>
  </si>
  <si>
    <t>United States</t>
  </si>
  <si>
    <t>TTP_1947_US</t>
  </si>
  <si>
    <t>Northern Mariana Islands</t>
  </si>
  <si>
    <t>Commonwealth of the Northern Mariana Islands</t>
  </si>
  <si>
    <t>NMI_1978_US</t>
  </si>
  <si>
    <t>GUA_1898_US</t>
  </si>
  <si>
    <t>Guam</t>
  </si>
  <si>
    <t>Hagatña</t>
  </si>
  <si>
    <t>Spanish East Indies</t>
  </si>
  <si>
    <t>Japanese Mandate for the Governance of the South Seas Islands</t>
  </si>
  <si>
    <t>SSM_1920_JAP</t>
  </si>
  <si>
    <t>PAL_1994</t>
  </si>
  <si>
    <t>Republic of Palau</t>
  </si>
  <si>
    <t>Micronesia</t>
  </si>
  <si>
    <t>MAR_1986</t>
  </si>
  <si>
    <t>FSM_1986</t>
  </si>
  <si>
    <t>GNG_1884_GER</t>
  </si>
  <si>
    <t>GNG_1891_GER</t>
  </si>
  <si>
    <t>GNG_1910_GER</t>
  </si>
  <si>
    <t>Kingdom of Tonga</t>
  </si>
  <si>
    <t>TON_1900_UK</t>
  </si>
  <si>
    <t>TON_1970</t>
  </si>
  <si>
    <t>Independent State of Samoa</t>
  </si>
  <si>
    <t>SAM_1962</t>
  </si>
  <si>
    <t>Western Samoa</t>
  </si>
  <si>
    <t>SAM_1914_NZ</t>
  </si>
  <si>
    <t>SAM_1900_GER</t>
  </si>
  <si>
    <t>New Hebrides</t>
  </si>
  <si>
    <t>VAN_1980</t>
  </si>
  <si>
    <t>Republic of Vanuatu</t>
  </si>
  <si>
    <t>Colony of Fiji</t>
  </si>
  <si>
    <t>FIJ_1874_UK</t>
  </si>
  <si>
    <t>FIJ_1970</t>
  </si>
  <si>
    <t>Dominion of Fiji/Republic of Fiji</t>
  </si>
  <si>
    <t>SOL_1893_UK</t>
  </si>
  <si>
    <t>Solomon Islands Protectorate</t>
  </si>
  <si>
    <t>SOL_1978</t>
  </si>
  <si>
    <t>NAU_1968</t>
  </si>
  <si>
    <t>Republic of Nauru</t>
  </si>
  <si>
    <t>NAU_1920_AUS</t>
  </si>
  <si>
    <t>PNG_1914_AUS</t>
  </si>
  <si>
    <t>PNG_1884_UK</t>
  </si>
  <si>
    <t>Territory of Papua and New Guinea</t>
  </si>
  <si>
    <t>PNG_1949_AUS</t>
  </si>
  <si>
    <t>Territory of Papua</t>
  </si>
  <si>
    <t>British New Guinea</t>
  </si>
  <si>
    <t>PNG_1975</t>
  </si>
  <si>
    <t>Independent State of Papua New Guinea</t>
  </si>
  <si>
    <t>Australian New Guinea</t>
  </si>
  <si>
    <t>Australian Papua</t>
  </si>
  <si>
    <t>NZL_1841_UK</t>
  </si>
  <si>
    <t>Colony of New Zealand</t>
  </si>
  <si>
    <t>NZL_1907</t>
  </si>
  <si>
    <t>Dominion of New Zealand/New Zealand</t>
  </si>
  <si>
    <t>NSW_1788_UK</t>
  </si>
  <si>
    <t>New South Wales</t>
  </si>
  <si>
    <t>Commonwealth of Australia</t>
  </si>
  <si>
    <t>AST_1901</t>
  </si>
  <si>
    <t>Greenland</t>
  </si>
  <si>
    <t>Puerto Rico</t>
  </si>
  <si>
    <t>US Virgin Islands</t>
  </si>
  <si>
    <t>American Samoa</t>
  </si>
  <si>
    <t>Guadeloupe</t>
  </si>
  <si>
    <t>Martinique</t>
  </si>
  <si>
    <t>Aruba</t>
  </si>
  <si>
    <t>Curacao</t>
  </si>
  <si>
    <t>Sint Maarten</t>
  </si>
  <si>
    <t>Bermuda</t>
  </si>
  <si>
    <t>Cayman Islands</t>
  </si>
  <si>
    <t>Azores</t>
  </si>
  <si>
    <t>Madeira</t>
  </si>
  <si>
    <t>Svalbard</t>
  </si>
  <si>
    <t>Faroe Islands</t>
  </si>
  <si>
    <t>French Polynesia</t>
  </si>
  <si>
    <t>New Caledonia</t>
  </si>
  <si>
    <t>Reunion</t>
  </si>
  <si>
    <t>Mayotte</t>
  </si>
  <si>
    <t>Saint Pierre and Miquelon</t>
  </si>
  <si>
    <t>Bonaire</t>
  </si>
  <si>
    <t>British Virgin Islands</t>
  </si>
  <si>
    <t>Anguilla</t>
  </si>
  <si>
    <t>Cook Islands</t>
  </si>
  <si>
    <t>Republic of Djibouti</t>
  </si>
  <si>
    <t>DJI_1977</t>
  </si>
  <si>
    <t>French Territory of the Afars and the Issas</t>
  </si>
  <si>
    <t>DJI_1967_FRA</t>
  </si>
  <si>
    <t>Republic of Suriname</t>
  </si>
  <si>
    <t>Colony of Surinam</t>
  </si>
  <si>
    <t>SUR_1954_NET</t>
  </si>
  <si>
    <t>SUR_1975</t>
  </si>
  <si>
    <t>Cisplatina Province</t>
  </si>
  <si>
    <t>Cisplatina</t>
  </si>
  <si>
    <t>URU_1817_BRA</t>
  </si>
  <si>
    <t>UPR_1776_SPA</t>
  </si>
  <si>
    <t>Oriental Republic of Uruguay</t>
  </si>
  <si>
    <t>PER_1542_SPA</t>
  </si>
  <si>
    <t>Kingdom of Peru</t>
  </si>
  <si>
    <t>CHL_1541_SPA</t>
  </si>
  <si>
    <t>CHL_1818</t>
  </si>
  <si>
    <t>Republic of Chile</t>
  </si>
  <si>
    <t>Captaincy General of Chile</t>
  </si>
  <si>
    <t>PER_1821</t>
  </si>
  <si>
    <t>Republic of Peru</t>
  </si>
  <si>
    <t>GUI_1831_UK</t>
  </si>
  <si>
    <t>GUY_1966</t>
  </si>
  <si>
    <t>Guyana/Republic of Guyana</t>
  </si>
  <si>
    <t>New Kingdom of Granada</t>
  </si>
  <si>
    <t>Republic of Colombia</t>
  </si>
  <si>
    <t>COL_1819</t>
  </si>
  <si>
    <t>Republic of New Granada</t>
  </si>
  <si>
    <t>Granadine Confederation</t>
  </si>
  <si>
    <t>State/Republic of Ecuador</t>
  </si>
  <si>
    <t>ECU_1830</t>
  </si>
  <si>
    <t>VEN_1830</t>
  </si>
  <si>
    <t>State/United States of Venezuela</t>
  </si>
  <si>
    <t>PAR_1811</t>
  </si>
  <si>
    <t>Republic of Paraguay</t>
  </si>
  <si>
    <t>Argentine Republic</t>
  </si>
  <si>
    <t>ARG_1816</t>
  </si>
  <si>
    <t>BOL_1825</t>
  </si>
  <si>
    <t>Plurinational State of Bolivia</t>
  </si>
  <si>
    <t>BRA_1549_POR</t>
  </si>
  <si>
    <t>BRA_1822</t>
  </si>
  <si>
    <t>BRA_1815</t>
  </si>
  <si>
    <t>United States of Brazil</t>
  </si>
  <si>
    <t>Federative Republic of Brazil</t>
  </si>
  <si>
    <t>Nuuk</t>
  </si>
  <si>
    <t>GRL_1721_DEN</t>
  </si>
  <si>
    <t>Greenland Colony</t>
  </si>
  <si>
    <t>Territory of Greenland</t>
  </si>
  <si>
    <t>Greenland Home Rule</t>
  </si>
  <si>
    <t>Greenland Self Governed</t>
  </si>
  <si>
    <t>Commonwealth of Puerto Rico</t>
  </si>
  <si>
    <t>PUE_1898_US</t>
  </si>
  <si>
    <t>San Juan</t>
  </si>
  <si>
    <t>PUE_1582_SPA</t>
  </si>
  <si>
    <t>Captaincy General of Puerto Rico</t>
  </si>
  <si>
    <t>Territory of Puerto Rico</t>
  </si>
  <si>
    <t>Danish West Indies</t>
  </si>
  <si>
    <t>UVI_1672_DEN</t>
  </si>
  <si>
    <t>Charlotte Amalie</t>
  </si>
  <si>
    <t>Christiansted</t>
  </si>
  <si>
    <t>Virgin Islands of the United States</t>
  </si>
  <si>
    <t>UVI_1917_US</t>
  </si>
  <si>
    <t>Pago Pago</t>
  </si>
  <si>
    <t>Basse-terre</t>
  </si>
  <si>
    <t>Colony of Guadeloupe</t>
  </si>
  <si>
    <t>Colony of Martinique</t>
  </si>
  <si>
    <t>Fort-de-France</t>
  </si>
  <si>
    <t>French Guiana</t>
  </si>
  <si>
    <t>Cayenne</t>
  </si>
  <si>
    <t>MTQ_1635_FRA</t>
  </si>
  <si>
    <t>Colony of French Guiana</t>
  </si>
  <si>
    <t>Country of Aruba</t>
  </si>
  <si>
    <t>Oranjestad</t>
  </si>
  <si>
    <t>ARU_1986_NET</t>
  </si>
  <si>
    <t>Netherlands Antilles</t>
  </si>
  <si>
    <t>Willemstad</t>
  </si>
  <si>
    <t>ANT_1954_NET</t>
  </si>
  <si>
    <t>Curacao and Dependencies</t>
  </si>
  <si>
    <t>Colony of Curacao and Dependencies</t>
  </si>
  <si>
    <t>ANT_1634_NET</t>
  </si>
  <si>
    <t>Country of Curacao</t>
  </si>
  <si>
    <t>CUR_2010_NET</t>
  </si>
  <si>
    <t>BON_2010_NET</t>
  </si>
  <si>
    <t>Kralendijk</t>
  </si>
  <si>
    <t>Country of Sint Maarten</t>
  </si>
  <si>
    <t>Philipsburg</t>
  </si>
  <si>
    <t>STM_2010_NET</t>
  </si>
  <si>
    <t>Stanley</t>
  </si>
  <si>
    <t>Falkland Islands</t>
  </si>
  <si>
    <t>FLK_1833_UK</t>
  </si>
  <si>
    <t>Hamilton</t>
  </si>
  <si>
    <t>CAY_1670_UK</t>
  </si>
  <si>
    <t>Turks and Caicos Islands</t>
  </si>
  <si>
    <t>Cockburn Town</t>
  </si>
  <si>
    <t>Autonomous Region of the Azores</t>
  </si>
  <si>
    <t>Ponta Delgada</t>
  </si>
  <si>
    <t>Autonomous Region of Madeira</t>
  </si>
  <si>
    <t>MAD_1425_POR</t>
  </si>
  <si>
    <t>Funchal</t>
  </si>
  <si>
    <t>Longyearbyen</t>
  </si>
  <si>
    <t>Torshavn</t>
  </si>
  <si>
    <t>Papeete</t>
  </si>
  <si>
    <t>Noumea</t>
  </si>
  <si>
    <t>NCL_1853_FRA</t>
  </si>
  <si>
    <t>MYT_1841_FRA</t>
  </si>
  <si>
    <t>Mamoudzou</t>
  </si>
  <si>
    <t>Saint-Pierre</t>
  </si>
  <si>
    <t>Saint-Denis</t>
  </si>
  <si>
    <t>Road Town</t>
  </si>
  <si>
    <t>BVI_1672_UK</t>
  </si>
  <si>
    <t>The Valley</t>
  </si>
  <si>
    <t>Avarua</t>
  </si>
  <si>
    <t>COO_1901_NZ</t>
  </si>
  <si>
    <t>SAM_1900_US</t>
  </si>
  <si>
    <t>French Equatorial Africa</t>
  </si>
  <si>
    <t>FEA_1910_FRA</t>
  </si>
  <si>
    <t>French Congo</t>
  </si>
  <si>
    <t>Middle Congo</t>
  </si>
  <si>
    <t>CON_1960</t>
  </si>
  <si>
    <t>CON_1958_FRA</t>
  </si>
  <si>
    <t>CON_1882_FRA</t>
  </si>
  <si>
    <t>CPV_1975</t>
  </si>
  <si>
    <t>LIB_1847</t>
  </si>
  <si>
    <t>MRT_1960</t>
  </si>
  <si>
    <t>SEY_1976</t>
  </si>
  <si>
    <t>ANG_1975</t>
  </si>
  <si>
    <t>TOG_1960</t>
  </si>
  <si>
    <t>MAL_1960</t>
  </si>
  <si>
    <t>LES_1966</t>
  </si>
  <si>
    <t>SOM_1960</t>
  </si>
  <si>
    <t>NAM_1990</t>
  </si>
  <si>
    <t>LBY_1951</t>
  </si>
  <si>
    <t>CAM_1961</t>
  </si>
  <si>
    <t>COM_1975</t>
  </si>
  <si>
    <t>RWA_1962</t>
  </si>
  <si>
    <t>GUI_1958</t>
  </si>
  <si>
    <t>MTS_1968</t>
  </si>
  <si>
    <t>ZAM_1964</t>
  </si>
  <si>
    <t>BUR_1960</t>
  </si>
  <si>
    <t>BOT_1966</t>
  </si>
  <si>
    <t>EGY_1922</t>
  </si>
  <si>
    <t>ALG_1962</t>
  </si>
  <si>
    <t>ESW_1968</t>
  </si>
  <si>
    <t>SEN_1960</t>
  </si>
  <si>
    <t>TUN_1956</t>
  </si>
  <si>
    <t>CHD_1960</t>
  </si>
  <si>
    <t>SUD_1956</t>
  </si>
  <si>
    <t>MAD_1960</t>
  </si>
  <si>
    <t>NGR_1960</t>
  </si>
  <si>
    <t>SSU_2011</t>
  </si>
  <si>
    <t>MOZ_1975</t>
  </si>
  <si>
    <t>BEN_1960</t>
  </si>
  <si>
    <t>MOR_1956</t>
  </si>
  <si>
    <t>IVC_1960</t>
  </si>
  <si>
    <t>GAM_1965</t>
  </si>
  <si>
    <t>TAN_1964</t>
  </si>
  <si>
    <t>BRN_1962</t>
  </si>
  <si>
    <t>NGA_1960</t>
  </si>
  <si>
    <t>EQG_1968</t>
  </si>
  <si>
    <t>BAH_1971</t>
  </si>
  <si>
    <t>JOR_1946</t>
  </si>
  <si>
    <t>ARM_1991</t>
  </si>
  <si>
    <t>MDV_1965</t>
  </si>
  <si>
    <t>QAT_1971</t>
  </si>
  <si>
    <t>GEO_1991</t>
  </si>
  <si>
    <t>OMN_1966</t>
  </si>
  <si>
    <t>AZB_1991</t>
  </si>
  <si>
    <t>UAE_1971</t>
  </si>
  <si>
    <t>IRQ_1932</t>
  </si>
  <si>
    <t>BRU_1984</t>
  </si>
  <si>
    <t>KYR_1991</t>
  </si>
  <si>
    <t>TKM_1990</t>
  </si>
  <si>
    <t>CMB_1953</t>
  </si>
  <si>
    <t>TAJ_1991</t>
  </si>
  <si>
    <t>ISR_1948</t>
  </si>
  <si>
    <t>LAO_1953</t>
  </si>
  <si>
    <t>TAI_1949</t>
  </si>
  <si>
    <t>VIE_1976</t>
  </si>
  <si>
    <t>UZB_1991</t>
  </si>
  <si>
    <t>KAZ_1991</t>
  </si>
  <si>
    <t>LEB_1943</t>
  </si>
  <si>
    <t>YEM_1990</t>
  </si>
  <si>
    <t>MLY_1963</t>
  </si>
  <si>
    <t>BAN_1971</t>
  </si>
  <si>
    <t>CYP_1960</t>
  </si>
  <si>
    <t>PHI_1946</t>
  </si>
  <si>
    <t>MYA_1948</t>
  </si>
  <si>
    <t>SRI_1948</t>
  </si>
  <si>
    <t>PAK_1947</t>
  </si>
  <si>
    <t>VAT_1929</t>
  </si>
  <si>
    <t>EST_1991</t>
  </si>
  <si>
    <t>LAT_1991</t>
  </si>
  <si>
    <t>MOL_1991</t>
  </si>
  <si>
    <t>NMA_1991</t>
  </si>
  <si>
    <t>BEL_1991</t>
  </si>
  <si>
    <t>LIT_1990</t>
  </si>
  <si>
    <t>BUL_1908</t>
  </si>
  <si>
    <t>CRO_1991</t>
  </si>
  <si>
    <t>ALB_1912</t>
  </si>
  <si>
    <t>SER_1992</t>
  </si>
  <si>
    <t>KOS_2008</t>
  </si>
  <si>
    <t>SLO_1991</t>
  </si>
  <si>
    <t>UNK_1801</t>
  </si>
  <si>
    <t>CZR_1993</t>
  </si>
  <si>
    <t>FIN_1917</t>
  </si>
  <si>
    <t>ROM_1877</t>
  </si>
  <si>
    <t>SWE_1523</t>
  </si>
  <si>
    <t>RUS_1991</t>
  </si>
  <si>
    <t>SVK_1993</t>
  </si>
  <si>
    <t>BOS_1992</t>
  </si>
  <si>
    <t>SPA_1516</t>
  </si>
  <si>
    <t>UKR_1991</t>
  </si>
  <si>
    <t>GRE_1822</t>
  </si>
  <si>
    <t>ITA_1861</t>
  </si>
  <si>
    <t>GER_1871</t>
  </si>
  <si>
    <t>FRA_0843</t>
  </si>
  <si>
    <t>MNC_1861</t>
  </si>
  <si>
    <t>BLG_1830</t>
  </si>
  <si>
    <t>SWI_1648</t>
  </si>
  <si>
    <t>MLT_1964</t>
  </si>
  <si>
    <t>BAR_1966</t>
  </si>
  <si>
    <t>SKN_1983</t>
  </si>
  <si>
    <t>GND_1974</t>
  </si>
  <si>
    <t>JAM_1962</t>
  </si>
  <si>
    <t>DOM_1978</t>
  </si>
  <si>
    <t>AAB_1981</t>
  </si>
  <si>
    <t>CUB_1902</t>
  </si>
  <si>
    <t>NIC_1838</t>
  </si>
  <si>
    <t>HON_1838</t>
  </si>
  <si>
    <t>SVG_1979</t>
  </si>
  <si>
    <t>SLU_1979</t>
  </si>
  <si>
    <t>PAN_1903</t>
  </si>
  <si>
    <t>DRP_1844</t>
  </si>
  <si>
    <t>GTM_1839</t>
  </si>
  <si>
    <t>MEX_1821</t>
  </si>
  <si>
    <t>BLZ_1981</t>
  </si>
  <si>
    <t>TAT_1962</t>
  </si>
  <si>
    <t>CAN_1867</t>
  </si>
  <si>
    <t>USA_1776</t>
  </si>
  <si>
    <t>ELS_1841</t>
  </si>
  <si>
    <t>COS_1838</t>
  </si>
  <si>
    <t>Republic of Cabo Verde</t>
  </si>
  <si>
    <t>CPV_1462_POR</t>
  </si>
  <si>
    <t>Republic of Liberia</t>
  </si>
  <si>
    <t>Colony of Liberia</t>
  </si>
  <si>
    <t>American Colonization Society</t>
  </si>
  <si>
    <t>French West Africa</t>
  </si>
  <si>
    <t>Saint Louis</t>
  </si>
  <si>
    <t>MRT_1958_FRA</t>
  </si>
  <si>
    <t>Islamic Republic of Mauritania</t>
  </si>
  <si>
    <t>FWA_1895_FRA</t>
  </si>
  <si>
    <t>Portuguese Sao Tome and Principe</t>
  </si>
  <si>
    <t>STP_1485_POR</t>
  </si>
  <si>
    <t>Democratic Republic of Sao Tome and Principe</t>
  </si>
  <si>
    <t>Republic of Seychelles</t>
  </si>
  <si>
    <t>Colony of Seychelles</t>
  </si>
  <si>
    <t>SEY_1814_UK</t>
  </si>
  <si>
    <t>SEY_1756_FRA</t>
  </si>
  <si>
    <t>Republic of Gabon</t>
  </si>
  <si>
    <t>Republic of Guinea-Bissau</t>
  </si>
  <si>
    <t>Overseas Province of Cape Verde</t>
  </si>
  <si>
    <t>Portuguese Guinea</t>
  </si>
  <si>
    <t>GAB_1960</t>
  </si>
  <si>
    <t>GAB_1958_FRA</t>
  </si>
  <si>
    <t>Colony of Gabon</t>
  </si>
  <si>
    <t>GAB_1885_FRA</t>
  </si>
  <si>
    <t>GBS_1974</t>
  </si>
  <si>
    <t>GBS_1879_POR</t>
  </si>
  <si>
    <t>Colony of Portuguese Guinea</t>
  </si>
  <si>
    <t>Province of Angola</t>
  </si>
  <si>
    <t>Portuguese Angola</t>
  </si>
  <si>
    <t>Republic of Angola</t>
  </si>
  <si>
    <t>Togolese Republic</t>
  </si>
  <si>
    <t>Togoland</t>
  </si>
  <si>
    <t>Togoland Protectorate</t>
  </si>
  <si>
    <t>Bagida</t>
  </si>
  <si>
    <t>Sebeab</t>
  </si>
  <si>
    <t>TOG_1884_GER</t>
  </si>
  <si>
    <t>French Togoland</t>
  </si>
  <si>
    <t>Territory of Togoland</t>
  </si>
  <si>
    <t>TOG_1916_FRA</t>
  </si>
  <si>
    <t>Republic of Togo</t>
  </si>
  <si>
    <t>Republic of Seirra Leone</t>
  </si>
  <si>
    <t>SRL_1961</t>
  </si>
  <si>
    <t>Colony of Sierra Leone</t>
  </si>
  <si>
    <t>SRL_1808_UK</t>
  </si>
  <si>
    <t>French Sudan</t>
  </si>
  <si>
    <t>MAL_1880_FRA</t>
  </si>
  <si>
    <t>MAL_1958_FRA</t>
  </si>
  <si>
    <t>Sudanese Republic</t>
  </si>
  <si>
    <t>MLF_1960</t>
  </si>
  <si>
    <t>Mali Federation</t>
  </si>
  <si>
    <t>Belgian Congo</t>
  </si>
  <si>
    <t>Congo Free State</t>
  </si>
  <si>
    <t>Vivi</t>
  </si>
  <si>
    <t>Boma</t>
  </si>
  <si>
    <t>CFS_1886</t>
  </si>
  <si>
    <t>CON_1908_BEL</t>
  </si>
  <si>
    <t>Leopoldville</t>
  </si>
  <si>
    <t>CON_1923_BEL</t>
  </si>
  <si>
    <t>Italian Eritrea</t>
  </si>
  <si>
    <t>Colony of Eritrea</t>
  </si>
  <si>
    <t>ERI_1993</t>
  </si>
  <si>
    <t>Italian East Africa</t>
  </si>
  <si>
    <t>British Military Administration in Eritrea</t>
  </si>
  <si>
    <t>Province of Eritrea</t>
  </si>
  <si>
    <t>State of Eritrea</t>
  </si>
  <si>
    <t>ERI_1882_ITA</t>
  </si>
  <si>
    <t>IEA_1936_ITA</t>
  </si>
  <si>
    <t>ERI_1941_UK</t>
  </si>
  <si>
    <t>Ethiopian Empire</t>
  </si>
  <si>
    <t>Debre Tabor</t>
  </si>
  <si>
    <t>Mekelle</t>
  </si>
  <si>
    <t>Federal Democratic Republic of Eritrea</t>
  </si>
  <si>
    <t>ETH_1941</t>
  </si>
  <si>
    <t>ETH_1855</t>
  </si>
  <si>
    <t>Basutoland</t>
  </si>
  <si>
    <t>Colony of Basutoland</t>
  </si>
  <si>
    <t>LES_1885_UK</t>
  </si>
  <si>
    <t>Kingdom of Lesotho</t>
  </si>
  <si>
    <t>Italian Somaliland</t>
  </si>
  <si>
    <t>Mogadiscio</t>
  </si>
  <si>
    <t>SOM_1889_ITA</t>
  </si>
  <si>
    <t>Cape Colony</t>
  </si>
  <si>
    <t>Cape Town</t>
  </si>
  <si>
    <t>CAP_1806_UK</t>
  </si>
  <si>
    <t>British Somaliland</t>
  </si>
  <si>
    <t>Somaliland Protectorate</t>
  </si>
  <si>
    <t>Berbera</t>
  </si>
  <si>
    <t>SOM_1941_UK</t>
  </si>
  <si>
    <t>SOL_1884_UK</t>
  </si>
  <si>
    <t>German South West Africa</t>
  </si>
  <si>
    <t>Windhuk</t>
  </si>
  <si>
    <t>South West Africa</t>
  </si>
  <si>
    <t>Republic of Namibia</t>
  </si>
  <si>
    <t>SWA_1884_GER</t>
  </si>
  <si>
    <t>SWA_1915_SA</t>
  </si>
  <si>
    <t>Ottoman Tripolitania</t>
  </si>
  <si>
    <t>Italian Tripolitania</t>
  </si>
  <si>
    <t>Italian Cyrenaica</t>
  </si>
  <si>
    <t>Bengasi</t>
  </si>
  <si>
    <t>Italian Libya</t>
  </si>
  <si>
    <t>Colony of Libya</t>
  </si>
  <si>
    <t>Kingdom of Libya</t>
  </si>
  <si>
    <t>British Military Administration of Libya</t>
  </si>
  <si>
    <t>TRI_1551_OTT</t>
  </si>
  <si>
    <t>TRI_1911_ITA</t>
  </si>
  <si>
    <t>CYR_1911_ITA</t>
  </si>
  <si>
    <t>TRI_1911_ITA/CYR_1911_ITA</t>
  </si>
  <si>
    <t>Kamerun</t>
  </si>
  <si>
    <t>Jaunde</t>
  </si>
  <si>
    <t>French Cameroon</t>
  </si>
  <si>
    <t>British Cameroon</t>
  </si>
  <si>
    <t>Buea</t>
  </si>
  <si>
    <t>Republic of Cameroon</t>
  </si>
  <si>
    <t>CAM_1884_GER</t>
  </si>
  <si>
    <t>CAM_1916_FRA</t>
  </si>
  <si>
    <t>CAM_1916_UK</t>
  </si>
  <si>
    <t>CAM_1916_FRA/CAM_1916_UK</t>
  </si>
  <si>
    <t>Colony of Madagascar and Dependencies</t>
  </si>
  <si>
    <t>Tananarive</t>
  </si>
  <si>
    <t>COM_1912_FRA</t>
  </si>
  <si>
    <t>Colony of the Comoros</t>
  </si>
  <si>
    <t>MAD_1817</t>
  </si>
  <si>
    <t>Kingdom of Imerina</t>
  </si>
  <si>
    <t>Malagasy Protectorate</t>
  </si>
  <si>
    <t>MAD_1882_FRA</t>
  </si>
  <si>
    <t>Malagasy Republic</t>
  </si>
  <si>
    <t>Republic of Madagascar</t>
  </si>
  <si>
    <t>Union of the Comoros</t>
  </si>
  <si>
    <t>Republic of Rwanda</t>
  </si>
  <si>
    <t>German East Africa</t>
  </si>
  <si>
    <t>Bagamayo</t>
  </si>
  <si>
    <t>Dar es Salaam</t>
  </si>
  <si>
    <t>Ruanda-Urundi</t>
  </si>
  <si>
    <t>Territory of Ruanda-Urundi</t>
  </si>
  <si>
    <t>Usumbura</t>
  </si>
  <si>
    <t>Republic of Burundi</t>
  </si>
  <si>
    <t>GEA_1885_GER</t>
  </si>
  <si>
    <t>Ubangi-Shari</t>
  </si>
  <si>
    <t>Republic of Mali</t>
  </si>
  <si>
    <t>Federal Republic of Somalia</t>
  </si>
  <si>
    <t>Colony of Ubangi-Shari</t>
  </si>
  <si>
    <t>Abiras</t>
  </si>
  <si>
    <t>CAR_1903_FRA</t>
  </si>
  <si>
    <t>CAR_1958_FRA</t>
  </si>
  <si>
    <t>Republic of Guinea</t>
  </si>
  <si>
    <t>East Africa Protectorate</t>
  </si>
  <si>
    <t>Mombasa</t>
  </si>
  <si>
    <t>Colony of Kenya</t>
  </si>
  <si>
    <t>Republic of Kenya</t>
  </si>
  <si>
    <t>KEN_1920_UK</t>
  </si>
  <si>
    <t>Colony of Mauritius</t>
  </si>
  <si>
    <t>MTS_1810_UK</t>
  </si>
  <si>
    <t>British Mauritius</t>
  </si>
  <si>
    <t>Isle de France</t>
  </si>
  <si>
    <t>MTS_1715_FRA</t>
  </si>
  <si>
    <t>Northern Rhodesia</t>
  </si>
  <si>
    <t>Livingstone</t>
  </si>
  <si>
    <t>Republic of Zambia</t>
  </si>
  <si>
    <t>Federation of Rhodesia and Nyasaland</t>
  </si>
  <si>
    <t>Salisbury</t>
  </si>
  <si>
    <t>Central African Federation</t>
  </si>
  <si>
    <t>CAF_1953_UK</t>
  </si>
  <si>
    <t>French Upper Volta</t>
  </si>
  <si>
    <t>Republic of Upper Volta</t>
  </si>
  <si>
    <t>BUR_1958_FRA</t>
  </si>
  <si>
    <t>SEN_1958_FRA</t>
  </si>
  <si>
    <t>Republic of Senegal</t>
  </si>
  <si>
    <t>MAL_1958_FRA/SEN_1958_FRA</t>
  </si>
  <si>
    <t>The Gambia</t>
  </si>
  <si>
    <t>Republic of the Gambia</t>
  </si>
  <si>
    <t>Gambia Colony and Protectorate</t>
  </si>
  <si>
    <t>Bathurst</t>
  </si>
  <si>
    <t>GAM_1816_UK</t>
  </si>
  <si>
    <t>Colony of Ivory Coast</t>
  </si>
  <si>
    <t>Grand-Bassam</t>
  </si>
  <si>
    <t>Abidjan</t>
  </si>
  <si>
    <t>Bingerville</t>
  </si>
  <si>
    <t>Republic of Cote d'Ivoire</t>
  </si>
  <si>
    <t>IVC_1893_FRA</t>
  </si>
  <si>
    <t>Colony of Niger</t>
  </si>
  <si>
    <t>NGR_1958_FRA</t>
  </si>
  <si>
    <t>Republic of Niger</t>
  </si>
  <si>
    <t>BEN_1958_FRA</t>
  </si>
  <si>
    <t>Colony of Dahomey and Dependencies</t>
  </si>
  <si>
    <t>Gold Coast</t>
  </si>
  <si>
    <t>Cape Coast</t>
  </si>
  <si>
    <t>GHA_1821_UK</t>
  </si>
  <si>
    <t>Republic of Ghana</t>
  </si>
  <si>
    <t>Lagos</t>
  </si>
  <si>
    <t>Republic of Nigeria</t>
  </si>
  <si>
    <t>Colony and Protectorate of Nigeria</t>
  </si>
  <si>
    <t>NGA_1914_UK</t>
  </si>
  <si>
    <t>Northern Nigeria</t>
  </si>
  <si>
    <t>Northern Nigeria Protectorate</t>
  </si>
  <si>
    <t>Southern Nigeria</t>
  </si>
  <si>
    <t>Southern Nigeria Protectorate</t>
  </si>
  <si>
    <t>Zungeru</t>
  </si>
  <si>
    <t>NNG_1900_UK</t>
  </si>
  <si>
    <t>SNG_1900_UK</t>
  </si>
  <si>
    <t>Republic of Benin</t>
  </si>
  <si>
    <t>Republic of Mauritius</t>
  </si>
  <si>
    <t>Spanish Guinea</t>
  </si>
  <si>
    <t>Santa Isabel</t>
  </si>
  <si>
    <t>Republic of Equatorial Guinea</t>
  </si>
  <si>
    <t>Republic of Tunisia</t>
  </si>
  <si>
    <t>Regency of Tunis</t>
  </si>
  <si>
    <t>TUN_1881_FRA</t>
  </si>
  <si>
    <t>Kingdom of Morocco</t>
  </si>
  <si>
    <t>Spanish Protectorate in Morocco</t>
  </si>
  <si>
    <t>Tetuan</t>
  </si>
  <si>
    <t>SMO_1912_SPA</t>
  </si>
  <si>
    <t>MOR_1912_FRA</t>
  </si>
  <si>
    <t>MOR_1912_FRA/SMO_1912_SPA</t>
  </si>
  <si>
    <t>French protectorate in Morocco</t>
  </si>
  <si>
    <t>French Algeria</t>
  </si>
  <si>
    <t>ALG_1830_FRA</t>
  </si>
  <si>
    <t>People's Democratic Republic of Algeria</t>
  </si>
  <si>
    <t>Muhammad Ali Dynasty</t>
  </si>
  <si>
    <t>EGY_1805_OTT</t>
  </si>
  <si>
    <t>EGY_1914_UK</t>
  </si>
  <si>
    <t>British Protectorate of Egypt</t>
  </si>
  <si>
    <t>Kingdom of Egypt</t>
  </si>
  <si>
    <t>United Arab Republic</t>
  </si>
  <si>
    <t>UAR_1958</t>
  </si>
  <si>
    <t>Name</t>
  </si>
  <si>
    <t>DJI_1862_FRA</t>
  </si>
  <si>
    <t>Obock Territory</t>
  </si>
  <si>
    <t>Obock Territory and Dependencies</t>
  </si>
  <si>
    <t>Afars and Issas</t>
  </si>
  <si>
    <t>Obock</t>
  </si>
  <si>
    <t>Map</t>
  </si>
  <si>
    <t>11°36′N 43°10′E</t>
  </si>
  <si>
    <t>Lat</t>
  </si>
  <si>
    <t>11°58′N 43°17′E</t>
  </si>
  <si>
    <t>Wiki Coords</t>
  </si>
  <si>
    <t>Checked</t>
  </si>
  <si>
    <t>LegacyName</t>
  </si>
  <si>
    <t>LegacyCaps</t>
  </si>
  <si>
    <t>Sort</t>
  </si>
  <si>
    <t>02°02′21″N 45°20′31″E</t>
  </si>
  <si>
    <t>9°1′48″N 38°44′24″E</t>
  </si>
  <si>
    <t>Somaliland</t>
  </si>
  <si>
    <t>SOM_1950_ITA</t>
  </si>
  <si>
    <t>SOM_1950_ITA/SOL_1884_UK</t>
  </si>
  <si>
    <t>10°26′08″N 045°00′59″E</t>
  </si>
  <si>
    <t>Hergeisa</t>
  </si>
  <si>
    <t>9°33′40″N 44°04′00″E</t>
  </si>
  <si>
    <t>15°20′09″N 38°56′28″E</t>
  </si>
  <si>
    <t>EthiopiaEritrea</t>
  </si>
  <si>
    <t>Provisional Military Government of Socialist Ethiopia</t>
  </si>
  <si>
    <t>Federal Democratic Republic of Ethiopia</t>
  </si>
  <si>
    <t>11°51′N 38°1′E</t>
  </si>
  <si>
    <t>13°29′49″N 39°28′37″E</t>
  </si>
  <si>
    <t>Lon</t>
  </si>
  <si>
    <t>4°16′S 15°16′E</t>
  </si>
  <si>
    <t>0°24′28″N 9°26′25″E</t>
  </si>
  <si>
    <t>French Gabon</t>
  </si>
  <si>
    <t>04°22′24″N 18°33′46″E</t>
  </si>
  <si>
    <t>CAR_1960</t>
  </si>
  <si>
    <t>Fort de Passel</t>
  </si>
  <si>
    <t>5°1′29.7″N 19°15′30.9″E</t>
  </si>
  <si>
    <t>4.135°N 22.440°E</t>
  </si>
  <si>
    <t>French Chad</t>
  </si>
  <si>
    <t>CHD_1900_FRA</t>
  </si>
  <si>
    <t>CON_1882_FRA/GAB_1885_FRA/CAR_1903_FRA/CHD_1900_FRA</t>
  </si>
  <si>
    <t>12°06′19″N 15°02′41″E</t>
  </si>
  <si>
    <t>Republic of Chad</t>
  </si>
  <si>
    <t>Fort Lamy</t>
  </si>
  <si>
    <t>14.918°N 23.509°W</t>
  </si>
  <si>
    <t>CapeVerde</t>
  </si>
  <si>
    <t>18°05′07″N 15°58′21″W</t>
  </si>
  <si>
    <t>French Mauritania</t>
  </si>
  <si>
    <t>16°02′N 16°30′W</t>
  </si>
  <si>
    <t>14°41′34″N 17°26′48″W</t>
  </si>
  <si>
    <t>French Senegal</t>
  </si>
  <si>
    <t>13°27′00″N 16°34′30″W</t>
  </si>
  <si>
    <t>TheGambia</t>
  </si>
  <si>
    <t>GUI_1891_FRA</t>
  </si>
  <si>
    <t>09°30′33″N 13°42′44″W</t>
  </si>
  <si>
    <t>Colony of Guinea</t>
  </si>
  <si>
    <t>French Guinea</t>
  </si>
  <si>
    <t>11°51′36″N 15°35′0″W</t>
  </si>
  <si>
    <t>GuineaBissau</t>
  </si>
  <si>
    <t>6°18′48″N 10°48′5″W</t>
  </si>
  <si>
    <t>LIB_1822_ACS</t>
  </si>
  <si>
    <t>IVC_1958_FRA</t>
  </si>
  <si>
    <t>06°48′58″N 05°16′27″W</t>
  </si>
  <si>
    <t>5°19′N 4°2′W</t>
  </si>
  <si>
    <t>5°12′N 3°44′W</t>
  </si>
  <si>
    <t>IvoryCoast</t>
  </si>
  <si>
    <t>5°21′N 3°54′W</t>
  </si>
  <si>
    <t>5°33′N 0°12′W</t>
  </si>
  <si>
    <t>Dominion of Ghana</t>
  </si>
  <si>
    <t>06°07′51″N 01°12′55″E</t>
  </si>
  <si>
    <t>Autonomous Republic of Togo</t>
  </si>
  <si>
    <t>6°15′N 1°37′E</t>
  </si>
  <si>
    <t>6°10′N 1°19′E</t>
  </si>
  <si>
    <t>British Sierra Leone</t>
  </si>
  <si>
    <t>8°29′14″N 13°14′8″W</t>
  </si>
  <si>
    <t>Protectorate of Sierra Leone</t>
  </si>
  <si>
    <t>SierraLeone</t>
  </si>
  <si>
    <t>MAL_1890_FRA</t>
  </si>
  <si>
    <t>12°38′21″N 08°00′10″W</t>
  </si>
  <si>
    <t>12°22′07″N 01°31′39″W</t>
  </si>
  <si>
    <t>BurkinaFaso</t>
  </si>
  <si>
    <t>13°30′49″N 02°06′32″E</t>
  </si>
  <si>
    <t>Upper Volta</t>
  </si>
  <si>
    <t>DRC_1960</t>
  </si>
  <si>
    <t>6°29′50″N 2°36′18″E</t>
  </si>
  <si>
    <t>Republic of Dahomey</t>
  </si>
  <si>
    <t>Dahomey</t>
  </si>
  <si>
    <t>People's Republic of Benin</t>
  </si>
  <si>
    <t>05°06′N 01°15′W</t>
  </si>
  <si>
    <t>Colony of the Gold Coast</t>
  </si>
  <si>
    <t>Federal Republic of Nigeria</t>
  </si>
  <si>
    <t>9°48′N 6°9′E</t>
  </si>
  <si>
    <t>NorthernNigeria</t>
  </si>
  <si>
    <t>6°27′22″N 3°23′37″E</t>
  </si>
  <si>
    <t>SouthernNigeria</t>
  </si>
  <si>
    <t>NNG_1900_UK/SNG_1900_UK</t>
  </si>
  <si>
    <t>9°4′N 7°29′E</t>
  </si>
  <si>
    <t>Nouakchott</t>
  </si>
  <si>
    <t>Republic of Sierra Leone</t>
  </si>
  <si>
    <t>Trust Territory of Somaliland</t>
  </si>
  <si>
    <t>CHD_1958_FRA</t>
  </si>
  <si>
    <t>Colony of Chad</t>
  </si>
  <si>
    <t>1°35′20″N 10°49′21″E</t>
  </si>
  <si>
    <t>EQG_1959_SPA</t>
  </si>
  <si>
    <t>EQG_1900_SPA</t>
  </si>
  <si>
    <t>3°44′44″N 8°46′28″E</t>
  </si>
  <si>
    <t>Malabo</t>
  </si>
  <si>
    <t>EquatorialGuinea</t>
  </si>
  <si>
    <t>0°20′N 6°44′E</t>
  </si>
  <si>
    <t>SaoTome</t>
  </si>
  <si>
    <t>4°37′23″S 55°27′09″E</t>
  </si>
  <si>
    <t>L'Etablissement</t>
  </si>
  <si>
    <t>ANG_1891_POR</t>
  </si>
  <si>
    <t>8°50′18″S 13°14′4″E</t>
  </si>
  <si>
    <t>Colony of Angola</t>
  </si>
  <si>
    <t>Zaire</t>
  </si>
  <si>
    <t>5°51′S 13°03′E</t>
  </si>
  <si>
    <t>04°19′19″S 15°18′43″E</t>
  </si>
  <si>
    <t>5.7936°S 13.4812°E</t>
  </si>
  <si>
    <t>CON_1885</t>
  </si>
  <si>
    <t>3°51′59″N 11°31′14″E</t>
  </si>
  <si>
    <t>British Cameroons</t>
  </si>
  <si>
    <t>4°10′0″N 9°14′0″E</t>
  </si>
  <si>
    <t>22°34′12″S 17°5′1″E</t>
  </si>
  <si>
    <t>BOT_1885_UK</t>
  </si>
  <si>
    <t>SAF_1910</t>
  </si>
  <si>
    <t>33°55′31″S 18°25′26″E</t>
  </si>
  <si>
    <t>LES_1884_UK</t>
  </si>
  <si>
    <t>29°18′54″S 27°29′13″E</t>
  </si>
  <si>
    <t>Natal</t>
  </si>
  <si>
    <t>NAT_1843_UK</t>
  </si>
  <si>
    <t>26°30′S 31°30′E</t>
  </si>
  <si>
    <t>Kingdom of Eswatini</t>
  </si>
  <si>
    <t>ESW_1903_UK</t>
  </si>
  <si>
    <t>Swaziland</t>
  </si>
  <si>
    <t>Kingdom of Swaziland</t>
  </si>
  <si>
    <t>Pietermaritzburg</t>
  </si>
  <si>
    <t>29°37′S 30°23′E</t>
  </si>
  <si>
    <t>Colony of Natal</t>
  </si>
  <si>
    <t>24°39′29″S 25°54′44″E</t>
  </si>
  <si>
    <t>Republic of Botswana</t>
  </si>
  <si>
    <t>Mafikeng</t>
  </si>
  <si>
    <t>25°51′56″S 25°38′37″E</t>
  </si>
  <si>
    <t>Bechuanaland Protectorate</t>
  </si>
  <si>
    <t>Transvaal</t>
  </si>
  <si>
    <t>Orange River</t>
  </si>
  <si>
    <t>OFS_1902_UK</t>
  </si>
  <si>
    <t>TRV_1902_UK</t>
  </si>
  <si>
    <t>NAT_1843/TRV_1902_UK/OFS_1902_UK/CAP_1806_UK</t>
  </si>
  <si>
    <t>25°44′46″S 28°11′17″E</t>
  </si>
  <si>
    <t>Colony of Transvaal</t>
  </si>
  <si>
    <t>Bloenfontein</t>
  </si>
  <si>
    <t>29°07′S 26°13′E</t>
  </si>
  <si>
    <t>Orange River Colony</t>
  </si>
  <si>
    <t>Orange Free State</t>
  </si>
  <si>
    <t>Union of South Africa</t>
  </si>
  <si>
    <t>ZAM_1924_UK</t>
  </si>
  <si>
    <t>Southern Rhodesia</t>
  </si>
  <si>
    <t>ZIM_1963_UK</t>
  </si>
  <si>
    <t>ZIM_1923_UK</t>
  </si>
  <si>
    <t>MLW_1963_UK</t>
  </si>
  <si>
    <t>ZAM_1963_UK</t>
  </si>
  <si>
    <t>17°51′S 25°52′E</t>
  </si>
  <si>
    <t>15°25′S 28°17′E</t>
  </si>
  <si>
    <t>17°49′45″S 31°3′8″E</t>
  </si>
  <si>
    <t>ZIM_1980</t>
  </si>
  <si>
    <t>Republic of Zimbabwe</t>
  </si>
  <si>
    <t>Portuguese Mozambique</t>
  </si>
  <si>
    <t>MOZ_1891_POR</t>
  </si>
  <si>
    <t>Cidade de Pedra</t>
  </si>
  <si>
    <t>15°01′57″S 40°44′11″E</t>
  </si>
  <si>
    <t>Lourenço Marques</t>
  </si>
  <si>
    <t>25°58′S 32°35′E</t>
  </si>
  <si>
    <t>TAN_1961</t>
  </si>
  <si>
    <t>ZAN_1963</t>
  </si>
  <si>
    <t>ZAN_1890_UK</t>
  </si>
  <si>
    <t>Tanganyika</t>
  </si>
  <si>
    <t>Zanzibar</t>
  </si>
  <si>
    <t>06°48′58″S 39°16′49″E</t>
  </si>
  <si>
    <t>TAN_1916_UK</t>
  </si>
  <si>
    <t>TAN_1961/ZAN_1963</t>
  </si>
  <si>
    <t>ZAN_1856</t>
  </si>
  <si>
    <t>Stone Town</t>
  </si>
  <si>
    <t>6°09′45″S 39°11′29″E</t>
  </si>
  <si>
    <t>Zanzibar City</t>
  </si>
  <si>
    <t>6.165°S 39.199°E</t>
  </si>
  <si>
    <t>6°10′23″S 35°44′31″E</t>
  </si>
  <si>
    <t>United Republic of Tanzania</t>
  </si>
  <si>
    <t>Tanganyika Territory</t>
  </si>
  <si>
    <t>Republic of Tanganyika</t>
  </si>
  <si>
    <t>People's Republic of Zanzibar</t>
  </si>
  <si>
    <t>Sultanate of Zanzibar</t>
  </si>
  <si>
    <t>Merina Kingdom</t>
  </si>
  <si>
    <t>18°55′25″S 47°31′56″E</t>
  </si>
  <si>
    <t>11.699°S 43.256°E</t>
  </si>
  <si>
    <t>20.2°S 57.5°E</t>
  </si>
  <si>
    <t>Zomba</t>
  </si>
  <si>
    <t>15°23′13″S 35°19′09″E</t>
  </si>
  <si>
    <t>13°59′S 33°47′E</t>
  </si>
  <si>
    <t>Republic of Malawi</t>
  </si>
  <si>
    <t>3°23′S 29°22′E</t>
  </si>
  <si>
    <t>Bujumbura</t>
  </si>
  <si>
    <t>1°57′9″S 30°6′54″E</t>
  </si>
  <si>
    <t>BRN_1916_BEL</t>
  </si>
  <si>
    <t>6°26′40″S 38°54′10″E</t>
  </si>
  <si>
    <t>03°25′42″S 29°55′30″E</t>
  </si>
  <si>
    <t>4°03′S 39°40′E</t>
  </si>
  <si>
    <t>01°17′11″S 36°49′02″E</t>
  </si>
  <si>
    <t>KEN_1895_UK</t>
  </si>
  <si>
    <t>KEN_1963</t>
  </si>
  <si>
    <t>GHA_1957</t>
  </si>
  <si>
    <t>UGA_1962</t>
  </si>
  <si>
    <t>UGA_1894_UK</t>
  </si>
  <si>
    <t>Entebbe</t>
  </si>
  <si>
    <t>Protectorate of Uganda</t>
  </si>
  <si>
    <t>00°18′49″N 32°34′52″E</t>
  </si>
  <si>
    <t>00°03′00″N 32°27′36″E</t>
  </si>
  <si>
    <t>SUD_1899_UK</t>
  </si>
  <si>
    <t>Anglo-Egyptian Sudan</t>
  </si>
  <si>
    <t>15°36′N 32°30′E</t>
  </si>
  <si>
    <t>Republic of the Sudan</t>
  </si>
  <si>
    <t>04°51′N 31°34′E</t>
  </si>
  <si>
    <t>Republic of South Sudan</t>
  </si>
  <si>
    <t>SouthSudan</t>
  </si>
  <si>
    <t>EGY_1961</t>
  </si>
  <si>
    <t>30°2′40″N 31°14′9″E</t>
  </si>
  <si>
    <t>Arab Republic of Egypt</t>
  </si>
  <si>
    <t>French Military Libya</t>
  </si>
  <si>
    <t>UK Military Libya</t>
  </si>
  <si>
    <t>Sabha</t>
  </si>
  <si>
    <t>LBY_1943_UK</t>
  </si>
  <si>
    <t>LBY_1943_FRA</t>
  </si>
  <si>
    <t>LBY_1934_ITA</t>
  </si>
  <si>
    <t>LBY_1943_UK/LBY_1943_FRA</t>
  </si>
  <si>
    <t>27°02′20″N 14°25′35″E</t>
  </si>
  <si>
    <t>32°53′14″N 13°11′29″E</t>
  </si>
  <si>
    <t>32°07′N 20°04′E</t>
  </si>
  <si>
    <t>Fezzan-Ghadames Military Territory</t>
  </si>
  <si>
    <t>Cyrenaica</t>
  </si>
  <si>
    <t>36°48′23″N 10°10′54″E</t>
  </si>
  <si>
    <t>Kingdom of Tunisia</t>
  </si>
  <si>
    <t>36°43′57″N 03°05′14″E</t>
  </si>
  <si>
    <t>35°34′N 5°22′W</t>
  </si>
  <si>
    <t>34°01′16″N 6°50′29″W</t>
  </si>
  <si>
    <t>SpanishMorocco</t>
  </si>
  <si>
    <t>Republic of Uganda</t>
  </si>
  <si>
    <t>Nyasaland</t>
  </si>
  <si>
    <t>STR_1826_UK</t>
  </si>
  <si>
    <t>05°24′52″N 100°19′45″E</t>
  </si>
  <si>
    <t>1°17′N 103°50′E</t>
  </si>
  <si>
    <t>20°52′44″S 55°26′53″E</t>
  </si>
  <si>
    <t>12°46′50″S 45°13′40″E</t>
  </si>
  <si>
    <t>46°46′54″N 56°10′25″W</t>
  </si>
  <si>
    <t>SPM_1814_FRA</t>
  </si>
  <si>
    <t>StPierre</t>
  </si>
  <si>
    <t>TUR_1922</t>
  </si>
  <si>
    <t>OTT_1453</t>
  </si>
  <si>
    <t>Constantinople</t>
  </si>
  <si>
    <t>41°00′45″N 28°58′48″E</t>
  </si>
  <si>
    <t>39°55′44″N 32°51′17″E</t>
  </si>
  <si>
    <t>Sublime Ottoman State</t>
  </si>
  <si>
    <t>British Cyprus</t>
  </si>
  <si>
    <t>CYP_1878_UK</t>
  </si>
  <si>
    <t>CYP_1571_OTT</t>
  </si>
  <si>
    <t>Ottoman Cyprus</t>
  </si>
  <si>
    <t>35°10′21″N 33°21′54″E</t>
  </si>
  <si>
    <t>Republic of Cyprus</t>
  </si>
  <si>
    <t>SYR_1961</t>
  </si>
  <si>
    <t>SYR_1923_FRA</t>
  </si>
  <si>
    <t>SYR_1946</t>
  </si>
  <si>
    <t>33°30′47″N 36°18′34″E</t>
  </si>
  <si>
    <t>Mandate for Syria and the Lebanon</t>
  </si>
  <si>
    <t>Syrian Republic</t>
  </si>
  <si>
    <t>Syrian Arab Republic</t>
  </si>
  <si>
    <t>EGY_1517_OTT</t>
  </si>
  <si>
    <t>Ottoman Egypt</t>
  </si>
  <si>
    <t>Ottoman Tunisia</t>
  </si>
  <si>
    <t>TUN_1574_OTT</t>
  </si>
  <si>
    <t>Regency of Algiers</t>
  </si>
  <si>
    <t>ALG_1516_OTT</t>
  </si>
  <si>
    <t>33°53′53″N 35°30′21″E</t>
  </si>
  <si>
    <t>Lebanese Republic</t>
  </si>
  <si>
    <t>PAL_1920</t>
  </si>
  <si>
    <t>Palestine</t>
  </si>
  <si>
    <t>JER_1517_OTT</t>
  </si>
  <si>
    <t>31°46′44″N 35°13′32″E</t>
  </si>
  <si>
    <t>Jerusalem Sanjak</t>
  </si>
  <si>
    <t>Mandatory Palestine</t>
  </si>
  <si>
    <t>State of Israel</t>
  </si>
  <si>
    <t>JOR_1921_UK</t>
  </si>
  <si>
    <t>Transjordan</t>
  </si>
  <si>
    <t>31°56′59″N 35°55′58″E</t>
  </si>
  <si>
    <t>Emirate of Transjordan</t>
  </si>
  <si>
    <t>Hashemite Kingdom of Jordan</t>
  </si>
  <si>
    <t>Emirate of Riyadh</t>
  </si>
  <si>
    <t>Kingdom of Saudi Arabia</t>
  </si>
  <si>
    <t>Emirate of Najd</t>
  </si>
  <si>
    <t>Emirate of Diriyah</t>
  </si>
  <si>
    <t>Diriyah</t>
  </si>
  <si>
    <t>24°38′N 46°43′E</t>
  </si>
  <si>
    <t>24°44′00″N 46°34′32″E</t>
  </si>
  <si>
    <t>YEM_1597</t>
  </si>
  <si>
    <t>Qasimid State</t>
  </si>
  <si>
    <t>YEM_1872_OTT</t>
  </si>
  <si>
    <t>YEM_1918</t>
  </si>
  <si>
    <t>North Yemen</t>
  </si>
  <si>
    <t>Ottoman Yemen</t>
  </si>
  <si>
    <t>ADN_1872_UK</t>
  </si>
  <si>
    <t>Aden Protectorate</t>
  </si>
  <si>
    <t>South Yemen</t>
  </si>
  <si>
    <t>Sana'a</t>
  </si>
  <si>
    <t>15°20′54″N 44°12′23″E</t>
  </si>
  <si>
    <t>Taiz</t>
  </si>
  <si>
    <t>13°34′44″N 44°01′19″E</t>
  </si>
  <si>
    <t>Aden</t>
  </si>
  <si>
    <t>12°48′N 45°02′E</t>
  </si>
  <si>
    <t>People's Democratic Republic of Yemen</t>
  </si>
  <si>
    <t>Republic of Yemen</t>
  </si>
  <si>
    <t>Yemen Arab Republic</t>
  </si>
  <si>
    <t>Mutawakkilite Kingdom of Yemen</t>
  </si>
  <si>
    <t>SouthYemen</t>
  </si>
  <si>
    <t>NorthYemen</t>
  </si>
  <si>
    <t>OMN_1696</t>
  </si>
  <si>
    <t>Omani Empire</t>
  </si>
  <si>
    <t>Muscat and Oman</t>
  </si>
  <si>
    <t>OMN_1856</t>
  </si>
  <si>
    <t>23°35′20″N 58°24′30″E</t>
  </si>
  <si>
    <t>Rustaq</t>
  </si>
  <si>
    <t>23°23′27″N 57°25′28″E</t>
  </si>
  <si>
    <t>Sultanate of Muscat and Oman</t>
  </si>
  <si>
    <t>Sultanate of Oman</t>
  </si>
  <si>
    <t>UAE_1820_UK</t>
  </si>
  <si>
    <t>Trucial States</t>
  </si>
  <si>
    <t>24°28′N 54°22′E</t>
  </si>
  <si>
    <t>UnitedArabEmirates</t>
  </si>
  <si>
    <t>State of Qatar</t>
  </si>
  <si>
    <t>QAT_1916_UK</t>
  </si>
  <si>
    <t>25°17′12″N 51°32′0″E</t>
  </si>
  <si>
    <t>BAH_1783</t>
  </si>
  <si>
    <t>BAH_1861_UK</t>
  </si>
  <si>
    <t>26°13′24″N 50°35′15″E</t>
  </si>
  <si>
    <t>Muharraq</t>
  </si>
  <si>
    <t>26°15′N 50°37′E</t>
  </si>
  <si>
    <t>Bahrain and its Dependencies</t>
  </si>
  <si>
    <t>State of Bahrain</t>
  </si>
  <si>
    <t>29°22′11″N 47°58′42″E</t>
  </si>
  <si>
    <t>KUW_1752</t>
  </si>
  <si>
    <t>Republic of Iraq</t>
  </si>
  <si>
    <t>33°18′55″N 44°21′58″E</t>
  </si>
  <si>
    <t>Ottoman Iraq</t>
  </si>
  <si>
    <t>IRQ_1534_OTT</t>
  </si>
  <si>
    <t>IRQ_1920_UK</t>
  </si>
  <si>
    <t>Mandatory Iraq</t>
  </si>
  <si>
    <t>EastTimor</t>
  </si>
  <si>
    <t>SouthKorea</t>
  </si>
  <si>
    <t>NorthKorea</t>
  </si>
  <si>
    <t>CzechRepublic</t>
  </si>
  <si>
    <t>NorthMacedonia</t>
  </si>
  <si>
    <t>Bosnia</t>
  </si>
  <si>
    <t>SanMarino</t>
  </si>
  <si>
    <t>Vatican</t>
  </si>
  <si>
    <t>MonteCarlo</t>
  </si>
  <si>
    <t>Faroes</t>
  </si>
  <si>
    <t>Trinidad</t>
  </si>
  <si>
    <t>StVincent</t>
  </si>
  <si>
    <t>StMaartin</t>
  </si>
  <si>
    <t>Antilles</t>
  </si>
  <si>
    <t>StLucia</t>
  </si>
  <si>
    <t>StKitts</t>
  </si>
  <si>
    <t>Antigua</t>
  </si>
  <si>
    <t>DominicanRepublic</t>
  </si>
  <si>
    <t>Caymans</t>
  </si>
  <si>
    <t>TurksCocos</t>
  </si>
  <si>
    <t>BritishVirginIslands</t>
  </si>
  <si>
    <t>Aguilla</t>
  </si>
  <si>
    <t>CostaRica</t>
  </si>
  <si>
    <t>ElSalvador</t>
  </si>
  <si>
    <t>PuertoRico</t>
  </si>
  <si>
    <t>USVirginIslands</t>
  </si>
  <si>
    <t>NewZealand</t>
  </si>
  <si>
    <t>NewSouthWales</t>
  </si>
  <si>
    <t>PapuaNewGuinea</t>
  </si>
  <si>
    <t>GermanNewGuinea</t>
  </si>
  <si>
    <t>SolomonIslands</t>
  </si>
  <si>
    <t>NewHebrides</t>
  </si>
  <si>
    <t>FrenchPolynesia</t>
  </si>
  <si>
    <t>NewCaledonia</t>
  </si>
  <si>
    <t>GilbertIslands</t>
  </si>
  <si>
    <t>CookIslands</t>
  </si>
  <si>
    <t>MarshallIslands</t>
  </si>
  <si>
    <t>TrustTerritory</t>
  </si>
  <si>
    <t>SouthSeasMandate</t>
  </si>
  <si>
    <t>NorthernMarshallIslands</t>
  </si>
  <si>
    <t>SpanishEastIndies</t>
  </si>
  <si>
    <t>Falklands</t>
  </si>
  <si>
    <t>Safavid Iran</t>
  </si>
  <si>
    <t>IRN_1501</t>
  </si>
  <si>
    <t>Afsharid Iran</t>
  </si>
  <si>
    <t>Qajar Iran</t>
  </si>
  <si>
    <t>Pahlavi Iran</t>
  </si>
  <si>
    <t>Islamic Republic of Iran</t>
  </si>
  <si>
    <t>35°41′20″N 51°23′23″E</t>
  </si>
  <si>
    <t>Imperial State of Iran</t>
  </si>
  <si>
    <t>Guarded Domains of Iran</t>
  </si>
  <si>
    <t>Islamic Emirate of Afghanistan</t>
  </si>
  <si>
    <t>AFG_1747</t>
  </si>
  <si>
    <t>34°31′N 69°11′E</t>
  </si>
  <si>
    <t>Durrani Empire</t>
  </si>
  <si>
    <t>Kandahar</t>
  </si>
  <si>
    <t>31°37′12″N 65°42′57″E</t>
  </si>
  <si>
    <t>Emirate of Afghanistan</t>
  </si>
  <si>
    <t>Kingdom of Afghanistan</t>
  </si>
  <si>
    <t>Republic of Afghanistan</t>
  </si>
  <si>
    <t>Democratic Republic of Afghanistan</t>
  </si>
  <si>
    <t>Islamic State of Afghanistan</t>
  </si>
  <si>
    <t>Islamic Republic of Afghanistan</t>
  </si>
  <si>
    <t>Islamic Republic of Pakistan</t>
  </si>
  <si>
    <t>British Raj</t>
  </si>
  <si>
    <t>IDA_1858_UK</t>
  </si>
  <si>
    <t>Karachi</t>
  </si>
  <si>
    <t>24°51′36″N 67°0′36″E</t>
  </si>
  <si>
    <t>33°41′35″N 73°03′50″E</t>
  </si>
  <si>
    <t>Dominion of Pakistan</t>
  </si>
  <si>
    <t>OriginalPakistan</t>
  </si>
  <si>
    <t>IDA_1757_UK</t>
  </si>
  <si>
    <t>East India Company</t>
  </si>
  <si>
    <t>SriLanka</t>
  </si>
  <si>
    <t>Dominion of India</t>
  </si>
  <si>
    <t>Republic of India</t>
  </si>
  <si>
    <t>28°36′50″N 77°12′30″E</t>
  </si>
  <si>
    <t>Calcutta</t>
  </si>
  <si>
    <t>22°34′03″N 88°22′12″E</t>
  </si>
  <si>
    <t>Democratic Socialist Republic of Sri Lanka</t>
  </si>
  <si>
    <t>6°56′N 79°52′E</t>
  </si>
  <si>
    <t>SRI_1469</t>
  </si>
  <si>
    <t>Kandy</t>
  </si>
  <si>
    <t>SRI_1815_UK</t>
  </si>
  <si>
    <t>British Ceylon</t>
  </si>
  <si>
    <t>Kingdom of Kandy</t>
  </si>
  <si>
    <t>7°17′35″N 80°38′06″E</t>
  </si>
  <si>
    <t>Colombo</t>
  </si>
  <si>
    <t>6°56′04″N 79°50′34″E</t>
  </si>
  <si>
    <t>Dominion of Ceylon</t>
  </si>
  <si>
    <t>MDV_1573</t>
  </si>
  <si>
    <t>Sultanate of the Maldive Islands</t>
  </si>
  <si>
    <t>4°10′31″N 73°30′32″E</t>
  </si>
  <si>
    <t>British India</t>
  </si>
  <si>
    <t>MDV_1796_UK</t>
  </si>
  <si>
    <t>Republic of Maldives</t>
  </si>
  <si>
    <t>23°45′50″N 90°23′20″E</t>
  </si>
  <si>
    <t>People's Republic of Bangladesh</t>
  </si>
  <si>
    <t>NEP_1768</t>
  </si>
  <si>
    <t>27°42′N 85°19′E</t>
  </si>
  <si>
    <t>Kingdom of Nepal</t>
  </si>
  <si>
    <t>Federal Democratic Republic of Nepal</t>
  </si>
  <si>
    <t>BHU_1616</t>
  </si>
  <si>
    <t>27°28.0′N 89°38.5′E</t>
  </si>
  <si>
    <t>Kingdom of Bhutan</t>
  </si>
  <si>
    <t>Burma</t>
  </si>
  <si>
    <t>MYA_1752</t>
  </si>
  <si>
    <t>Konbaung Dynasty</t>
  </si>
  <si>
    <t>Shwebo</t>
  </si>
  <si>
    <t>Sagaing</t>
  </si>
  <si>
    <t>Ava</t>
  </si>
  <si>
    <t>Amarapura</t>
  </si>
  <si>
    <t>Mandalay</t>
  </si>
  <si>
    <t>Rangoon</t>
  </si>
  <si>
    <t>19°44′51″N 96°06′54″E</t>
  </si>
  <si>
    <t>16°47′42″N 96°09′36″E</t>
  </si>
  <si>
    <t>22°34′0″N 95°42′0″E</t>
  </si>
  <si>
    <t>21°52′56″N 95°58′43″E</t>
  </si>
  <si>
    <t>21°51′28″N 95°59′06″E</t>
  </si>
  <si>
    <t>21°54′N 96°03′E</t>
  </si>
  <si>
    <t>21°58′59″N 96°05′04″E</t>
  </si>
  <si>
    <t>British Burma</t>
  </si>
  <si>
    <t>Republic of the Union of Myanmar</t>
  </si>
  <si>
    <t>Union of Burma</t>
  </si>
  <si>
    <t>THA_1351</t>
  </si>
  <si>
    <t>Ayutthaya</t>
  </si>
  <si>
    <t>14°20′52″N 100°33′38″E</t>
  </si>
  <si>
    <t>13°45′09″N 100°29′39″E</t>
  </si>
  <si>
    <t>Siam</t>
  </si>
  <si>
    <t>Ayutthaya Kingdom</t>
  </si>
  <si>
    <t>Kingdom of Thailand</t>
  </si>
  <si>
    <t>Kingdom of Siam</t>
  </si>
  <si>
    <t>MLY_1946_UK</t>
  </si>
  <si>
    <t>Malayan Union</t>
  </si>
  <si>
    <t>Malaya</t>
  </si>
  <si>
    <t>MLY_1948_UK</t>
  </si>
  <si>
    <t>Raj of Sarawak</t>
  </si>
  <si>
    <t>SAR_1841</t>
  </si>
  <si>
    <t>SAR_1888_UK</t>
  </si>
  <si>
    <t>NBO_1881_UK</t>
  </si>
  <si>
    <t>North Borneo</t>
  </si>
  <si>
    <t>LAB_1846_UK</t>
  </si>
  <si>
    <t>Labuan</t>
  </si>
  <si>
    <t>03°08′52″N 101°41′43″E</t>
  </si>
  <si>
    <t>Kuching</t>
  </si>
  <si>
    <t>01°33′27″N 110°20′38″E</t>
  </si>
  <si>
    <t>Kudat</t>
  </si>
  <si>
    <t>Sandakan</t>
  </si>
  <si>
    <t>Jesselton</t>
  </si>
  <si>
    <t>05°58′30″N 116°04′21″E</t>
  </si>
  <si>
    <t>05°50′0″N 118°07′0″E</t>
  </si>
  <si>
    <t>6°53′00″N 116°50′00″E</t>
  </si>
  <si>
    <t>5°17′N 115°14′E</t>
  </si>
  <si>
    <t>Federation of Malaya</t>
  </si>
  <si>
    <t>Colony of Labuan</t>
  </si>
  <si>
    <t>Colony of North Borneo</t>
  </si>
  <si>
    <t>Sarawak</t>
  </si>
  <si>
    <t>NorthBorneo</t>
  </si>
  <si>
    <t>IND_1800_NET</t>
  </si>
  <si>
    <t>Dutch East Indies</t>
  </si>
  <si>
    <t>IND_1949</t>
  </si>
  <si>
    <t>Batavia</t>
  </si>
  <si>
    <t>6°11′S 106°50′E</t>
  </si>
  <si>
    <t>Djakarta</t>
  </si>
  <si>
    <t>Republic of Indonesia</t>
  </si>
  <si>
    <t>TIM_1702_POR</t>
  </si>
  <si>
    <t>Portuguese Timor</t>
  </si>
  <si>
    <t>SAR_1888_UK/MLY_1948_UK/NBO_1881_UK/TIM_1702_POR</t>
  </si>
  <si>
    <t>Lifau</t>
  </si>
  <si>
    <t>9°13′0″S 124°18′0″E</t>
  </si>
  <si>
    <t>08°33′13″S 125°34′42″E</t>
  </si>
  <si>
    <t>Democratic Republic of Timor-Leste</t>
  </si>
  <si>
    <t>BRU_1888_UK</t>
  </si>
  <si>
    <t>BRU_1368</t>
  </si>
  <si>
    <t>Sultanate of Brunei</t>
  </si>
  <si>
    <t>4°53′25″N 114°56′32″E</t>
  </si>
  <si>
    <t>Brunei Town</t>
  </si>
  <si>
    <t>Protectorate of Brunei</t>
  </si>
  <si>
    <t>Brunei Darussalam</t>
  </si>
  <si>
    <t>Republic of the Philippines</t>
  </si>
  <si>
    <t>PHI_1898_US</t>
  </si>
  <si>
    <t>SEI_1571_SPA</t>
  </si>
  <si>
    <t>14°35′29″N 120°58′25″E</t>
  </si>
  <si>
    <t>Kingdom of Cambodia</t>
  </si>
  <si>
    <t>11°34′10″N 104°55′16″E</t>
  </si>
  <si>
    <t>CMB_1863_FRA</t>
  </si>
  <si>
    <t>French Cambodia</t>
  </si>
  <si>
    <t>CMB_1431</t>
  </si>
  <si>
    <t>Chaktomuk</t>
  </si>
  <si>
    <t>Longvek</t>
  </si>
  <si>
    <t>Srey Sarchor</t>
  </si>
  <si>
    <t>Oudong</t>
  </si>
  <si>
    <t>11°51′53″N 104°45′14″E</t>
  </si>
  <si>
    <t>11°50′31″N 105°7′33″E</t>
  </si>
  <si>
    <t>11°49′26″N 104°44′33″E</t>
  </si>
  <si>
    <t>LAO_1893_FRA</t>
  </si>
  <si>
    <t>LAO_1707</t>
  </si>
  <si>
    <t>French Laos</t>
  </si>
  <si>
    <t>Kingdom of Luang Phrabang</t>
  </si>
  <si>
    <t>Kingdom of Luang Prabang</t>
  </si>
  <si>
    <t>Kingdom of Laos</t>
  </si>
  <si>
    <t>Luang Prabang</t>
  </si>
  <si>
    <t>19°53′24″N 102°08′05″E</t>
  </si>
  <si>
    <t>17.98°N 102.63°E</t>
  </si>
  <si>
    <t>VIE_1802</t>
  </si>
  <si>
    <t>VIE_1884_FRA</t>
  </si>
  <si>
    <t>NVN_1954</t>
  </si>
  <si>
    <t>SVN_1954</t>
  </si>
  <si>
    <t>South Vietnam</t>
  </si>
  <si>
    <t>North Vietnam</t>
  </si>
  <si>
    <t>French Vietnam</t>
  </si>
  <si>
    <t>Nguyen Dynasty</t>
  </si>
  <si>
    <t>SVN_1954/NVN_1954</t>
  </si>
  <si>
    <t>Phu Xuan</t>
  </si>
  <si>
    <t>16°28′N 107°36′E</t>
  </si>
  <si>
    <t>Saigon</t>
  </si>
  <si>
    <t>10°46′32″N 106°42′07″E</t>
  </si>
  <si>
    <t>21.00°N 105.85°E</t>
  </si>
  <si>
    <t>21°01′42″N 105°51′15″E</t>
  </si>
  <si>
    <t>Republic of South Vietnam</t>
  </si>
  <si>
    <t>Indochinese Union</t>
  </si>
  <si>
    <t>Democratic Republic of Vietnam</t>
  </si>
  <si>
    <t>Socialist Republic of Vietnam</t>
  </si>
  <si>
    <t>SouthVietnam</t>
  </si>
  <si>
    <t>NorthVietnam</t>
  </si>
  <si>
    <t>IND_1800_NET/TIM_1702_POR</t>
  </si>
  <si>
    <t>People's Republic of China</t>
  </si>
  <si>
    <t>CHI_1644</t>
  </si>
  <si>
    <t>CHI_1949</t>
  </si>
  <si>
    <t>Mainland China</t>
  </si>
  <si>
    <t>39°54′24″N 116°23′51″E</t>
  </si>
  <si>
    <t>Nanjing</t>
  </si>
  <si>
    <t>32°03′39″N 118°46′44″E</t>
  </si>
  <si>
    <t>Republic of China</t>
  </si>
  <si>
    <t>Qing Dynasty</t>
  </si>
  <si>
    <t>25°02′15″N 121°33′45″E</t>
  </si>
  <si>
    <t>JAP_1603</t>
  </si>
  <si>
    <t>Edo</t>
  </si>
  <si>
    <t>Empire of Japan</t>
  </si>
  <si>
    <t>Tokugawa shogunate</t>
  </si>
  <si>
    <t>35°41′23″N 139°41′32″E</t>
  </si>
  <si>
    <t>35°41′02″N 139°46′28″E</t>
  </si>
  <si>
    <t>Korea</t>
  </si>
  <si>
    <t>KOR_1910_JAP</t>
  </si>
  <si>
    <t>KOR_1392</t>
  </si>
  <si>
    <t>Japanese Korea</t>
  </si>
  <si>
    <t>Keijo</t>
  </si>
  <si>
    <t>Joseon</t>
  </si>
  <si>
    <t>Hanseong</t>
  </si>
  <si>
    <t>37°33′36″N 126°59′24″E</t>
  </si>
  <si>
    <t>39°01′00″N 125°44′51″E</t>
  </si>
  <si>
    <t>Democratic People's Republic of Korea</t>
  </si>
  <si>
    <t>Republic of Korea</t>
  </si>
  <si>
    <t>Chosen</t>
  </si>
  <si>
    <t>MON_1911</t>
  </si>
  <si>
    <t>MON_1691_CHI</t>
  </si>
  <si>
    <t>Qing Mongolia</t>
  </si>
  <si>
    <t>47°55′19″N 106°54′55″E</t>
  </si>
  <si>
    <t>Outer Mongolia</t>
  </si>
  <si>
    <t>Uliastai</t>
  </si>
  <si>
    <t>47°44′34″N 96°50′36″E</t>
  </si>
  <si>
    <t>42°52′29″N 74°36′44″E</t>
  </si>
  <si>
    <t>Kyrgyz Republic</t>
  </si>
  <si>
    <t>38°32′12″N 68°46′48″E</t>
  </si>
  <si>
    <t>Republic of Tajikistan</t>
  </si>
  <si>
    <t>Republic of Uzbekistan</t>
  </si>
  <si>
    <t>41°18′40″N 69°16′47″E</t>
  </si>
  <si>
    <t>37°56′15″N 58°22′48″E</t>
  </si>
  <si>
    <t>51°8′N 71°26′E</t>
  </si>
  <si>
    <t>Almaty</t>
  </si>
  <si>
    <t>43°14′N 76°57′E</t>
  </si>
  <si>
    <t>Republic of Kazakhstan</t>
  </si>
  <si>
    <t>40°22′32″N 49°49′57″E</t>
  </si>
  <si>
    <t>Republic of Azerbaijan</t>
  </si>
  <si>
    <t>40°10′53″N 44°30′52″E</t>
  </si>
  <si>
    <t>Republic of Armenia</t>
  </si>
  <si>
    <t>41°43′21″N 44°47′33″E</t>
  </si>
  <si>
    <t>50°27′00″N 30°31′24″E</t>
  </si>
  <si>
    <t>RUS_1922</t>
  </si>
  <si>
    <t>RUS_1721</t>
  </si>
  <si>
    <t>Russian Empire</t>
  </si>
  <si>
    <t>Union of Soviet Socialist Republics</t>
  </si>
  <si>
    <t>55°45′21″N 37°37′04″E</t>
  </si>
  <si>
    <t>St. Petersburg</t>
  </si>
  <si>
    <t>59°56′15″N 30°18′31″E</t>
  </si>
  <si>
    <t>SovietUnion</t>
  </si>
  <si>
    <t>RUS_1917</t>
  </si>
  <si>
    <t>Soviet Russia</t>
  </si>
  <si>
    <t>Petrograd</t>
  </si>
  <si>
    <t>Russian Soviet Federative Socialist Republic</t>
  </si>
  <si>
    <t>53°54′02″N 27°33′31″E</t>
  </si>
  <si>
    <t>Republic of Belarus</t>
  </si>
  <si>
    <t>EST_1918</t>
  </si>
  <si>
    <t>59°25′N 24°45′E</t>
  </si>
  <si>
    <t>Republic of Estonia</t>
  </si>
  <si>
    <t>LAT_1918</t>
  </si>
  <si>
    <t>LIT_1918</t>
  </si>
  <si>
    <t>RUS_1917/EST_1918/LAT_1918/LIT_1918</t>
  </si>
  <si>
    <t>Republic of Latvia</t>
  </si>
  <si>
    <t>56°56′56″N 24°6′23″E</t>
  </si>
  <si>
    <t>Republic of Lithuania</t>
  </si>
  <si>
    <t>54°41′14″N 25°16′48″E</t>
  </si>
  <si>
    <t>Republic of Poland</t>
  </si>
  <si>
    <t>52°13′48″N 21°00′40″E</t>
  </si>
  <si>
    <t>RUS_1721/AUS/PRU</t>
  </si>
  <si>
    <t>POL_1918</t>
  </si>
  <si>
    <t>Polish People's Republic</t>
  </si>
  <si>
    <t>CZV_1918</t>
  </si>
  <si>
    <t>Czechoslovakia</t>
  </si>
  <si>
    <t>CZV_1945</t>
  </si>
  <si>
    <t>Czechoslovak Republic</t>
  </si>
  <si>
    <t>50°5′15″N 14°25′17″E</t>
  </si>
  <si>
    <t>Slovak Republic</t>
  </si>
  <si>
    <t>48°08′38″N 17°06′35″E</t>
  </si>
  <si>
    <t>HUN_1918</t>
  </si>
  <si>
    <t>47°26′N 19°15′E</t>
  </si>
  <si>
    <t>44°25′N 26°06′E</t>
  </si>
  <si>
    <t>United Principalities</t>
  </si>
  <si>
    <t>ROM_1859_OTT</t>
  </si>
  <si>
    <t>United Principalities of Moldavia and Wallachia</t>
  </si>
  <si>
    <t>Romanian United Principalities - Romania</t>
  </si>
  <si>
    <t>Principality of Romania - Romania</t>
  </si>
  <si>
    <t>Kingdom of Romania</t>
  </si>
  <si>
    <t>47°0′N 28°55′E</t>
  </si>
  <si>
    <t>Republic of Moldova</t>
  </si>
  <si>
    <t>BUL_1878_OTT</t>
  </si>
  <si>
    <t>Principality of Bulgaria</t>
  </si>
  <si>
    <t>42°42′N 23°20′E</t>
  </si>
  <si>
    <t>Republic of Bulgaria</t>
  </si>
  <si>
    <t>Hellenic Republic</t>
  </si>
  <si>
    <t>37°58′N 23°43′E</t>
  </si>
  <si>
    <t>GRE_1944</t>
  </si>
  <si>
    <t>ALB_1944</t>
  </si>
  <si>
    <t>41°19′42″N 19°49′5″E</t>
  </si>
  <si>
    <t>Republic of Albania</t>
  </si>
  <si>
    <t>42°0′N 21°26′E</t>
  </si>
  <si>
    <t>Republic of North Macedonia</t>
  </si>
  <si>
    <t>Yugoslavia</t>
  </si>
  <si>
    <t>YUG_1918</t>
  </si>
  <si>
    <t>SER_1882</t>
  </si>
  <si>
    <t>SER_1815_OTT</t>
  </si>
  <si>
    <t>Ottoman Serbia</t>
  </si>
  <si>
    <t>44°49′04″N 20°27′25″E</t>
  </si>
  <si>
    <t>Gornja Crnuća</t>
  </si>
  <si>
    <t>44°4′N 20°35′E</t>
  </si>
  <si>
    <t>Kragujevac</t>
  </si>
  <si>
    <t>44°00′36.3″N 20°55′1.9″E</t>
  </si>
  <si>
    <t>Kingdom of Serbia</t>
  </si>
  <si>
    <t>Republic of Serbia</t>
  </si>
  <si>
    <t>FRY_1992</t>
  </si>
  <si>
    <t>Serbia &amp; Montenegro</t>
  </si>
  <si>
    <t xml:space="preserve">Federal Republic of Yugoslavia </t>
  </si>
  <si>
    <t>SerbiaMontenegro</t>
  </si>
  <si>
    <t>42°40′N 21°10′E</t>
  </si>
  <si>
    <t>Republic of Kosovo</t>
  </si>
  <si>
    <t>42°26′29″N 19°15′46″E</t>
  </si>
  <si>
    <t>43°52′N 18°25′E</t>
  </si>
  <si>
    <t>Republic of Croatia</t>
  </si>
  <si>
    <t>45°48′47″N 15°58′39″E</t>
  </si>
  <si>
    <t>46°03′05″N 14°30′22″E</t>
  </si>
  <si>
    <t>Republic of Slovenia</t>
  </si>
  <si>
    <t>AUS_1867</t>
  </si>
  <si>
    <t>Austria-Hungary</t>
  </si>
  <si>
    <t>AUS_1919</t>
  </si>
  <si>
    <t>AUS_1804</t>
  </si>
  <si>
    <t>48°12′30″N 16°22′21″E</t>
  </si>
  <si>
    <t>Empire of Austria</t>
  </si>
  <si>
    <t>Austro-Hungarian Monarchy</t>
  </si>
  <si>
    <t>Republic of Austria</t>
  </si>
  <si>
    <t>AustriaHungary</t>
  </si>
  <si>
    <t>AustrianEmpire</t>
  </si>
  <si>
    <t>LIE_1806</t>
  </si>
  <si>
    <t>47°10′00″N 9°30′35″E</t>
  </si>
  <si>
    <t>Principality of Liechtenstein</t>
  </si>
  <si>
    <t>46°56′53″N 7°26′51″E</t>
  </si>
  <si>
    <t>Swiss Confederation</t>
  </si>
  <si>
    <t>PAP_1815</t>
  </si>
  <si>
    <t>Papal States</t>
  </si>
  <si>
    <t>41°53′36″N 12°28′58″E</t>
  </si>
  <si>
    <t>State of the Church</t>
  </si>
  <si>
    <t>Italian Republic</t>
  </si>
  <si>
    <t>SRD_1720</t>
  </si>
  <si>
    <t>Sardinia</t>
  </si>
  <si>
    <t>Cagliari</t>
  </si>
  <si>
    <t>Turin</t>
  </si>
  <si>
    <t>39°13′40″N 09°06′40″E</t>
  </si>
  <si>
    <t>45°04′45″N 07°40′34″E</t>
  </si>
  <si>
    <t>Kingdom of Sardinia</t>
  </si>
  <si>
    <t>Two Sicilies</t>
  </si>
  <si>
    <t>SIC_1816</t>
  </si>
  <si>
    <t>Naples</t>
  </si>
  <si>
    <t>40°50′09″N 14°14′55″E</t>
  </si>
  <si>
    <t>Kingdom of the Two Sicilies</t>
  </si>
  <si>
    <t>SMA_1631</t>
  </si>
  <si>
    <t>PAP_1815/SRD_1720/SIC_1816</t>
  </si>
  <si>
    <t>43°56′N 12°26′E</t>
  </si>
  <si>
    <t>Republic of San Marino</t>
  </si>
  <si>
    <t>41°54.2′N 12°27.2′E</t>
  </si>
  <si>
    <t>MLT_1800</t>
  </si>
  <si>
    <t>MLT_1798</t>
  </si>
  <si>
    <t>MLT_1530</t>
  </si>
  <si>
    <t>Hospitaller Malta</t>
  </si>
  <si>
    <t>French Malta</t>
  </si>
  <si>
    <t>British Malta</t>
  </si>
  <si>
    <t>Monastic State of the Order of Saint John of Jerusalem</t>
  </si>
  <si>
    <t>Birgu</t>
  </si>
  <si>
    <t>35°53′17″N 14°31′21″E</t>
  </si>
  <si>
    <t>35°53′54″N 14°30′45″E</t>
  </si>
  <si>
    <t>British Protectorate of Malta</t>
  </si>
  <si>
    <t>Crown Colony of the Island of Malta and its Dependencies</t>
  </si>
  <si>
    <t>Republic of Malta</t>
  </si>
  <si>
    <t>MNC_1641</t>
  </si>
  <si>
    <t>MNC_1814_SRD</t>
  </si>
  <si>
    <t>MNC_1793_FRA</t>
  </si>
  <si>
    <t>43°43′52″N 07°25′12″E</t>
  </si>
  <si>
    <t>Principality of Monaco</t>
  </si>
  <si>
    <t>Portuguese Republic</t>
  </si>
  <si>
    <t>POR_1139</t>
  </si>
  <si>
    <t>38°46′N 9°9′W</t>
  </si>
  <si>
    <t>AZO_1436_POR</t>
  </si>
  <si>
    <t>37°44′28″N 25°40′50″W</t>
  </si>
  <si>
    <t>32°45′N 17°00′W</t>
  </si>
  <si>
    <t>40°26′N 3°42′W</t>
  </si>
  <si>
    <t>Kingdom of Spain</t>
  </si>
  <si>
    <t>AND_1278</t>
  </si>
  <si>
    <t>42°30′23″N 1°31′17″E</t>
  </si>
  <si>
    <t>Principality of Andorra</t>
  </si>
  <si>
    <t>48°51′24″N 2°21′08″E</t>
  </si>
  <si>
    <t>Kingdom of France</t>
  </si>
  <si>
    <t>Russian Federation</t>
  </si>
  <si>
    <t>BHM_1718_UK</t>
  </si>
  <si>
    <t>BHM_1973</t>
  </si>
  <si>
    <t>25°04′41″N 77°20′19″W</t>
  </si>
  <si>
    <t>13°05′52″N 59°37′06″W</t>
  </si>
  <si>
    <t>BAR_1627_UK</t>
  </si>
  <si>
    <t>Colony of Barbados</t>
  </si>
  <si>
    <t>12°7′N 68°56′W</t>
  </si>
  <si>
    <t>12°31′7″N 70°2′9″W</t>
  </si>
  <si>
    <t>BonaireCuracao</t>
  </si>
  <si>
    <t>12°8′40″N 68°15′56″W</t>
  </si>
  <si>
    <t>18°1′26″N 63°2′45″W</t>
  </si>
  <si>
    <t>Republic of Trinidad and Tobago</t>
  </si>
  <si>
    <t>TAT_1814_UK</t>
  </si>
  <si>
    <t>10.667°N 61.5075°W</t>
  </si>
  <si>
    <t>Colony of Trinidad and Tobago</t>
  </si>
  <si>
    <t>12°3′14″N 61°44′43″W</t>
  </si>
  <si>
    <t>GND_1649_FRA</t>
  </si>
  <si>
    <t>GND_1779_FRA</t>
  </si>
  <si>
    <t>GND_1783_UK</t>
  </si>
  <si>
    <t>La Grenade</t>
  </si>
  <si>
    <t>GND_1763_UK</t>
  </si>
  <si>
    <t>SVG_1719_FRA</t>
  </si>
  <si>
    <t>SVG_1763_UK</t>
  </si>
  <si>
    <t>SVG_1779_FRA</t>
  </si>
  <si>
    <t>SVG_1783_UK</t>
  </si>
  <si>
    <t>13°10′N 61°14′W</t>
  </si>
  <si>
    <t>SLU_1674_FRA</t>
  </si>
  <si>
    <t>SLU_1763_UK</t>
  </si>
  <si>
    <t>SLU_1783_FRA</t>
  </si>
  <si>
    <t>SLU_1803_UK</t>
  </si>
  <si>
    <t>13°53′00″N 60°58′00″W</t>
  </si>
  <si>
    <t>15°59′45″N 61°43′45″W</t>
  </si>
  <si>
    <t>DOM_1635_FRA</t>
  </si>
  <si>
    <t>DOM_1763_UK</t>
  </si>
  <si>
    <t>15°18′33″N 61°22′45″W</t>
  </si>
  <si>
    <t>Commonwealth of Dominica</t>
  </si>
  <si>
    <t>14°36′00″N 61°04′00″W</t>
  </si>
  <si>
    <t>SKN_1882_UK</t>
  </si>
  <si>
    <t>17°18′N 62°44′W</t>
  </si>
  <si>
    <t>Saint Christopher-Nevis-Anguilla</t>
  </si>
  <si>
    <t>Federation of Saint Kitts and Nevis</t>
  </si>
  <si>
    <t>17°7′N 61°51′W</t>
  </si>
  <si>
    <t>BBD_1678_UK</t>
  </si>
  <si>
    <t>Barbuda</t>
  </si>
  <si>
    <t>ANT_1632_UK</t>
  </si>
  <si>
    <t>ANT_1632_UK/BBD_1678_UK</t>
  </si>
  <si>
    <t>Codrington</t>
  </si>
  <si>
    <t>17.64°N 61.81°W</t>
  </si>
  <si>
    <t>BER_1612_UK</t>
  </si>
  <si>
    <t>32°17′46″N 64°46′58″W</t>
  </si>
  <si>
    <t>19.320°N 81.229°W</t>
  </si>
  <si>
    <t>TCI_1783_UK</t>
  </si>
  <si>
    <t>21.459°N 71.139°W</t>
  </si>
  <si>
    <t>18°25′53″N 64°37′23″W</t>
  </si>
  <si>
    <t>AntiguaBarbuda</t>
  </si>
  <si>
    <t>AGU_1667_UK</t>
  </si>
  <si>
    <t>18°13′15″N 63°03′06″W</t>
  </si>
  <si>
    <t>18°27′N 69°56′W</t>
  </si>
  <si>
    <t>DRP_1492_SPA</t>
  </si>
  <si>
    <t>Captaincy General of Santo Domingo</t>
  </si>
  <si>
    <t>DRP_1795_FRA</t>
  </si>
  <si>
    <t>DRP_1809_SPA</t>
  </si>
  <si>
    <t>Captaincy General of Santo Domingo</t>
  </si>
  <si>
    <t>DRP_1861_SPA</t>
  </si>
  <si>
    <t>DRP_1865</t>
  </si>
  <si>
    <t>Province of Santo Domingo</t>
  </si>
  <si>
    <t>18°32′10″N 72°20′47″W</t>
  </si>
  <si>
    <t>Republic of Haiti</t>
  </si>
  <si>
    <t>HAI_1804</t>
  </si>
  <si>
    <t>FSD_1697_FRA</t>
  </si>
  <si>
    <t>Saint-Domingue</t>
  </si>
  <si>
    <t>Cap-Francais</t>
  </si>
  <si>
    <t>19°45′36″N 72°12′00″W</t>
  </si>
  <si>
    <t>Hispaniola</t>
  </si>
  <si>
    <t>CUB_1898_US</t>
  </si>
  <si>
    <t>CUB_1607_SPA</t>
  </si>
  <si>
    <t>CUB_1899_US</t>
  </si>
  <si>
    <t>23°08′12″N 82°21′32″W</t>
  </si>
  <si>
    <t>Captaincy General of Cuba</t>
  </si>
  <si>
    <t>Military Government of Cuba</t>
  </si>
  <si>
    <t>Republic of Cuba</t>
  </si>
  <si>
    <t>64°10′N 51°44′W</t>
  </si>
  <si>
    <t>FAR_1814_DEN</t>
  </si>
  <si>
    <t>62°00′N 06°47′W</t>
  </si>
  <si>
    <t>17°58′17″N 76°47′35″W</t>
  </si>
  <si>
    <t>JAM_1655_UK</t>
  </si>
  <si>
    <t>JAM_1509_SPA</t>
  </si>
  <si>
    <t>Spanish Town</t>
  </si>
  <si>
    <t>17.9958766°N 76.9551086°W</t>
  </si>
  <si>
    <t>Crown Colony of Jamaica and Dependencies</t>
  </si>
  <si>
    <t>Spanish Santiago</t>
  </si>
  <si>
    <t>COL_1717_SPA</t>
  </si>
  <si>
    <t>ColombiaPanama</t>
  </si>
  <si>
    <t>4°35′N 74°4′W</t>
  </si>
  <si>
    <t>8°58′N 79°32′W</t>
  </si>
  <si>
    <t>Republic of Panama</t>
  </si>
  <si>
    <t>9°56′N 84°5′W</t>
  </si>
  <si>
    <t>FRC_1823</t>
  </si>
  <si>
    <t>Federal Republic of Central America</t>
  </si>
  <si>
    <t>14°38′30″N 90°30′48″W</t>
  </si>
  <si>
    <t>13°41′56″N 89°11′29″W</t>
  </si>
  <si>
    <t>Free State of Costa Rica</t>
  </si>
  <si>
    <t>Republic of Costa Rica</t>
  </si>
  <si>
    <t>CentralAmerica</t>
  </si>
  <si>
    <t>French Republic</t>
  </si>
  <si>
    <t>French Empire</t>
  </si>
  <si>
    <t>Vichy France</t>
  </si>
  <si>
    <t>LUX_1944</t>
  </si>
  <si>
    <t>LUX_1815</t>
  </si>
  <si>
    <t>LUX_1354</t>
  </si>
  <si>
    <t>49°36′38″N 6°07′58″E</t>
  </si>
  <si>
    <t>Duchy of Luxembourg</t>
  </si>
  <si>
    <t>Grand Duchy of Luxembourg</t>
  </si>
  <si>
    <t>LuxembourgI</t>
  </si>
  <si>
    <t>LuxembourgII</t>
  </si>
  <si>
    <t>GTM_1609_SPA</t>
  </si>
  <si>
    <t>Santiago de Guatemala</t>
  </si>
  <si>
    <t>14°33′27″N 90°44′00″W</t>
  </si>
  <si>
    <t>12°6′N 86°14′W</t>
  </si>
  <si>
    <t>Captaincy General of Guatemala</t>
  </si>
  <si>
    <t>Republic of Nicaragua</t>
  </si>
  <si>
    <t>50°51′N 4°21′E</t>
  </si>
  <si>
    <t>NET_1815</t>
  </si>
  <si>
    <t>Kingdom of Belgium</t>
  </si>
  <si>
    <t>NET_1581</t>
  </si>
  <si>
    <t>Dutch Republic</t>
  </si>
  <si>
    <t>52°22′N 4°53′E</t>
  </si>
  <si>
    <t>The Hague</t>
  </si>
  <si>
    <t>52°04′48″N 04°18′36″E</t>
  </si>
  <si>
    <t>Batavian Republic</t>
  </si>
  <si>
    <t>Batavian Commonwealth</t>
  </si>
  <si>
    <t>Holland</t>
  </si>
  <si>
    <t>Kingdom of Holland</t>
  </si>
  <si>
    <t>United Kingdom of the Netherlands</t>
  </si>
  <si>
    <t>Kingdom of the Netherlands</t>
  </si>
  <si>
    <t>DNR_1537</t>
  </si>
  <si>
    <t>Denmark-Norway</t>
  </si>
  <si>
    <t>DEN_1814</t>
  </si>
  <si>
    <t>55°40′20″N 12°31′30″E</t>
  </si>
  <si>
    <t>Danish Unitary State</t>
  </si>
  <si>
    <t>Kingdom of Denmark</t>
  </si>
  <si>
    <t>DenmarkNorway</t>
  </si>
  <si>
    <t>Prussia</t>
  </si>
  <si>
    <t>PRU_1701</t>
  </si>
  <si>
    <t>52°31′12″N 13°24′18″E</t>
  </si>
  <si>
    <t>Konigsberg</t>
  </si>
  <si>
    <t>54°42′41.3″N 20°30′33.5″E</t>
  </si>
  <si>
    <t>Kingdom of Prussia</t>
  </si>
  <si>
    <t>Federal Republic of Germany</t>
  </si>
  <si>
    <t>BAV_1806</t>
  </si>
  <si>
    <t>Bavaria</t>
  </si>
  <si>
    <t>Munich</t>
  </si>
  <si>
    <t>48°08′15″N 11°34′30″E</t>
  </si>
  <si>
    <t>Kingdom of Bavaria</t>
  </si>
  <si>
    <t>SAX_1806</t>
  </si>
  <si>
    <t>Saxony</t>
  </si>
  <si>
    <t>Dresden</t>
  </si>
  <si>
    <t>51°03′00″N 13°44′24″E</t>
  </si>
  <si>
    <t>Kingdom of Saxony</t>
  </si>
  <si>
    <t>HAN_1814</t>
  </si>
  <si>
    <t>Hanover</t>
  </si>
  <si>
    <t>52°22′N 9°43′E</t>
  </si>
  <si>
    <t>Kingdom of Hanover</t>
  </si>
  <si>
    <t>Wurttemberg</t>
  </si>
  <si>
    <t>Kingdom of Württemberg</t>
  </si>
  <si>
    <t>WUR_1806</t>
  </si>
  <si>
    <t>Stuttgart</t>
  </si>
  <si>
    <t>48°46′39″N 09°10′48″E</t>
  </si>
  <si>
    <t>BAD_1806</t>
  </si>
  <si>
    <t>Baden</t>
  </si>
  <si>
    <t>Holstein</t>
  </si>
  <si>
    <t>Karlsruhe</t>
  </si>
  <si>
    <t>49°00′33″N 8°24′14″E</t>
  </si>
  <si>
    <t>Grand Duchy of Baden</t>
  </si>
  <si>
    <t>HOL_1815</t>
  </si>
  <si>
    <t>PRU_1701/BAV_1806/SAX_1806/WUR_1806/BAD_1806/HOL_1815</t>
  </si>
  <si>
    <t>Gluckstadt</t>
  </si>
  <si>
    <t>53°47′30″N 9°25′19″E</t>
  </si>
  <si>
    <t>Duchy of Holstein</t>
  </si>
  <si>
    <t>GER_1990</t>
  </si>
  <si>
    <t>West Germany</t>
  </si>
  <si>
    <t>East Germany</t>
  </si>
  <si>
    <t>WGR_1949</t>
  </si>
  <si>
    <t>EGR_1949</t>
  </si>
  <si>
    <t>WGR_1949/EGR_1949</t>
  </si>
  <si>
    <t>Bonn</t>
  </si>
  <si>
    <t>50°44′07″N 7°06′08″E</t>
  </si>
  <si>
    <t>German Democratic Republic</t>
  </si>
  <si>
    <t>GER_1945_US</t>
  </si>
  <si>
    <t>GER_1945_UK</t>
  </si>
  <si>
    <t>GER_1945_FR</t>
  </si>
  <si>
    <t>GER_1945_SU</t>
  </si>
  <si>
    <t>American Germany</t>
  </si>
  <si>
    <t>British Germany</t>
  </si>
  <si>
    <t>Soviet Germany</t>
  </si>
  <si>
    <t>French Germany</t>
  </si>
  <si>
    <t>GER_1945_US/GER_1945_UK/GER_1945_SU/GER_1945_FR</t>
  </si>
  <si>
    <t>Soviet Union</t>
  </si>
  <si>
    <t>Occupation of Germany</t>
  </si>
  <si>
    <t>BritishGermany</t>
  </si>
  <si>
    <t>AmericanGermany</t>
  </si>
  <si>
    <t>SovietGermany</t>
  </si>
  <si>
    <t>FrenchGermany</t>
  </si>
  <si>
    <t>FIN_1809_RUS</t>
  </si>
  <si>
    <t>Turku</t>
  </si>
  <si>
    <t>60°27′06″N 22°16′01″E</t>
  </si>
  <si>
    <t>60°10′15″N 24°56′15″E</t>
  </si>
  <si>
    <t>Grand Duchy of Finland</t>
  </si>
  <si>
    <t>Republic of Finland</t>
  </si>
  <si>
    <t>59°21′N 18°4′E</t>
  </si>
  <si>
    <t>Kingdom of Sweden</t>
  </si>
  <si>
    <t>SwedenFinland</t>
  </si>
  <si>
    <t>59°56′N 10°41′E</t>
  </si>
  <si>
    <t>Kingdom of Norway</t>
  </si>
  <si>
    <t>NOR_1814</t>
  </si>
  <si>
    <t>SVA_1920_NOR</t>
  </si>
  <si>
    <t>78°13′N 15°39′E</t>
  </si>
  <si>
    <t>IRE_1949</t>
  </si>
  <si>
    <t>IDA_1947</t>
  </si>
  <si>
    <t>MLW_1964</t>
  </si>
  <si>
    <t>53°21′N 6°16′W</t>
  </si>
  <si>
    <t>Kingdom of Ireland</t>
  </si>
  <si>
    <t>Republic of Ireland</t>
  </si>
  <si>
    <t>Irish Free State</t>
  </si>
  <si>
    <t>UNK_1707</t>
  </si>
  <si>
    <t>UNK_1922</t>
  </si>
  <si>
    <t>EnglandNIre</t>
  </si>
  <si>
    <t>EnglandIreland</t>
  </si>
  <si>
    <t>England</t>
  </si>
  <si>
    <t>51°30′N 0°7′W</t>
  </si>
  <si>
    <t>United Kingdom of Great Britain and Ireland</t>
  </si>
  <si>
    <t>Kingdom of Great Britain</t>
  </si>
  <si>
    <t>United Kingdom of Great Britain and Northern Ireland</t>
  </si>
  <si>
    <t>ICE_1918</t>
  </si>
  <si>
    <t>ICE_1814_DEN</t>
  </si>
  <si>
    <t>64°08′N 21°56′W</t>
  </si>
  <si>
    <t>14°6′N 87°13′W</t>
  </si>
  <si>
    <t>Republic of Honduras</t>
  </si>
  <si>
    <t>Republic of Guatemala</t>
  </si>
  <si>
    <t>BLZ_1862_UK</t>
  </si>
  <si>
    <t>British Honduras</t>
  </si>
  <si>
    <t>Belize City</t>
  </si>
  <si>
    <t>17°29′55″N 88°11′19″W</t>
  </si>
  <si>
    <t>17°15′08″N 88°45′50″W</t>
  </si>
  <si>
    <t>Crown Colony of British Honduras</t>
  </si>
  <si>
    <t>13°42′N 89°12′W</t>
  </si>
  <si>
    <t>Republic of El Salvador</t>
  </si>
  <si>
    <t>19°26′N 99°8′W</t>
  </si>
  <si>
    <t>United Mexican States</t>
  </si>
  <si>
    <t>New Spain</t>
  </si>
  <si>
    <t>NSP_1535_SPA</t>
  </si>
  <si>
    <t>Viceroyalty of New Spain</t>
  </si>
  <si>
    <t>18°27′N 66°6′W</t>
  </si>
  <si>
    <t>17.75°N 64.75°W</t>
  </si>
  <si>
    <t>18°21′N 64°57′W</t>
  </si>
  <si>
    <t>38°53′N 77°1′W</t>
  </si>
  <si>
    <t>Philadelphia</t>
  </si>
  <si>
    <t>New York City</t>
  </si>
  <si>
    <t>40°42′46″N 74°00′22″W</t>
  </si>
  <si>
    <t>39°57′10″N 75°09′49″W</t>
  </si>
  <si>
    <t>45°24′N 75°40′W</t>
  </si>
  <si>
    <t>35°18′29″S 149°07′28″E</t>
  </si>
  <si>
    <t>37°48′51″S 144°57′47″E</t>
  </si>
  <si>
    <t>33°52′04″S 151°12′36″E</t>
  </si>
  <si>
    <t>41°18′S 174°47′E</t>
  </si>
  <si>
    <t>Dominion of New Zealand</t>
  </si>
  <si>
    <t>36°50′57″S 174°45′55″E</t>
  </si>
  <si>
    <t>6°36′S 147°51′E</t>
  </si>
  <si>
    <t>5°13′S 145°48′E</t>
  </si>
  <si>
    <t>4°21′00″S 152°16′25″E</t>
  </si>
  <si>
    <t>4°12′S 152°11′E</t>
  </si>
  <si>
    <t>06°43′49″S 147°00′03″E</t>
  </si>
  <si>
    <t>09°28′44″S 147°08′58″E</t>
  </si>
  <si>
    <t>PNG_1902_AUS</t>
  </si>
  <si>
    <t>PNG_1902_AUS/PNG_1914_AUS</t>
  </si>
  <si>
    <t>9°06′05″S 160°08′48″E</t>
  </si>
  <si>
    <t>9°25′55″S 159°57′20″E</t>
  </si>
  <si>
    <t>8°31′S 179°12′E</t>
  </si>
  <si>
    <t>21°8′S 175°12′W</t>
  </si>
  <si>
    <t>Dominion of Fiji</t>
  </si>
  <si>
    <t>Republic of Fiji</t>
  </si>
  <si>
    <t>18.1416°S 178.4419°E</t>
  </si>
  <si>
    <t>17.684014°S 178.840127°E</t>
  </si>
  <si>
    <t>13°50′S 171°45′W</t>
  </si>
  <si>
    <t>WesternSamoa</t>
  </si>
  <si>
    <t>AmericanSamoa</t>
  </si>
  <si>
    <t>Occupied German Samoa</t>
  </si>
  <si>
    <t>Mandate of Western Samoa</t>
  </si>
  <si>
    <t>Independent State of Western Samoa</t>
  </si>
  <si>
    <t>14°16′26″S 170°42′16″W</t>
  </si>
  <si>
    <t>17°44′S 168°19′E</t>
  </si>
  <si>
    <t>UK/France</t>
  </si>
  <si>
    <t>NHB_1906_UKF</t>
  </si>
  <si>
    <t>0°32′51″S 166°55′3″E</t>
  </si>
  <si>
    <t>17°34′S 149°36′W</t>
  </si>
  <si>
    <t>FPY_1842_FRA</t>
  </si>
  <si>
    <t>1°28′N 173°2′E</t>
  </si>
  <si>
    <t>22°16′S 166°28′E</t>
  </si>
  <si>
    <t>21°12′S 159°46′W</t>
  </si>
  <si>
    <t>SSM_1914_JAP</t>
  </si>
  <si>
    <t>0°51′34″S 169°32′13″E</t>
  </si>
  <si>
    <t>08°31′S 179°12′E</t>
  </si>
  <si>
    <t>7°7′N 171°4′E</t>
  </si>
  <si>
    <t>15°11′N 145°45′E</t>
  </si>
  <si>
    <t>7°20.5167′N 134°28.75′E</t>
  </si>
  <si>
    <t>13°28′45″N 144°45′00″E</t>
  </si>
  <si>
    <t>6°55′N 158°11′E</t>
  </si>
  <si>
    <t>7°30′N 134°37′E</t>
  </si>
  <si>
    <t>15°47′S 47°52′W</t>
  </si>
  <si>
    <t>12°58′29″S 38°28′36″W</t>
  </si>
  <si>
    <t>22°54′40″S 43°12′20″W</t>
  </si>
  <si>
    <t>Republic of the United States of Brazil</t>
  </si>
  <si>
    <t>34°53′S 56°10′W</t>
  </si>
  <si>
    <t>UPR_1810</t>
  </si>
  <si>
    <t>34°36′14″S 58°22′53″W</t>
  </si>
  <si>
    <t>25°16′S 57°40′W</t>
  </si>
  <si>
    <t>51°41′43″S 57°50′58″W</t>
  </si>
  <si>
    <t>Sucre</t>
  </si>
  <si>
    <t>16°29′45″S 68°08′00″W</t>
  </si>
  <si>
    <t>19°02′51″S 65°15′36″W</t>
  </si>
  <si>
    <t>33°26′S 70°40′W</t>
  </si>
  <si>
    <t>12°2.6′S 77°1.7′W</t>
  </si>
  <si>
    <t>00°13′12″S 78°30′43″W</t>
  </si>
  <si>
    <t>10°30′22″N 66°54′52″W</t>
  </si>
  <si>
    <t>6°48′04″N 58°09′18″W</t>
  </si>
  <si>
    <t>Co-operative Republic of Guyana</t>
  </si>
  <si>
    <t>5°50′N 55°10′W</t>
  </si>
  <si>
    <t>GUI_1667_NET</t>
  </si>
  <si>
    <t>Dutch Surinam</t>
  </si>
  <si>
    <t>4°56′14″N 52°19′34″W</t>
  </si>
  <si>
    <t>FGU_1643_FRA</t>
  </si>
  <si>
    <t>FrenchGuiana</t>
  </si>
  <si>
    <t>TOG_1956_FRA</t>
  </si>
  <si>
    <t>STP_1975</t>
  </si>
  <si>
    <t>REU_1946_FRA</t>
  </si>
  <si>
    <t>SAU_1744</t>
  </si>
  <si>
    <t>MYA_1885_UK</t>
  </si>
  <si>
    <t>TIM_2002</t>
  </si>
  <si>
    <t>ADN_1963</t>
  </si>
  <si>
    <t>SOK_1945</t>
  </si>
  <si>
    <t>NOK_1945</t>
  </si>
  <si>
    <t>POL_1944</t>
  </si>
  <si>
    <t>SER_2006</t>
  </si>
  <si>
    <t>MNT_2006</t>
  </si>
  <si>
    <t>AUS_1945</t>
  </si>
  <si>
    <t>IRE_1541</t>
  </si>
  <si>
    <t>UNK_1707/IRE_1541</t>
  </si>
  <si>
    <t>GDL_1648_FRA</t>
  </si>
  <si>
    <t>URU_1825</t>
  </si>
  <si>
    <t>French Santo Domingo</t>
  </si>
  <si>
    <t>Colony of Santo Domingo</t>
  </si>
  <si>
    <t>United States of Venezuela</t>
  </si>
  <si>
    <t>Republic of Ecuador</t>
  </si>
  <si>
    <t>State of Ecuador</t>
  </si>
  <si>
    <t>State of Venezuela</t>
  </si>
  <si>
    <t>Republic of Venezuela</t>
  </si>
  <si>
    <t>Bolivarian Republic of Venezuela</t>
  </si>
  <si>
    <t>Spanish Peru</t>
  </si>
  <si>
    <t>Spanish Chile</t>
  </si>
  <si>
    <t>Congo-Brazzaville</t>
  </si>
  <si>
    <t>Congo-Kinshasa</t>
  </si>
  <si>
    <t>British Military Administration of Somaliland</t>
  </si>
  <si>
    <t>ADN_1963/YEM_1918</t>
  </si>
  <si>
    <t>Tbilisi</t>
  </si>
  <si>
    <t>Republic of Turkey</t>
  </si>
  <si>
    <t>Total</t>
  </si>
  <si>
    <t>Polities</t>
  </si>
  <si>
    <t>Now</t>
  </si>
  <si>
    <t>Input Date</t>
  </si>
  <si>
    <t>Color</t>
  </si>
  <si>
    <t>#6AC3FF</t>
  </si>
  <si>
    <t>#FFD75D</t>
  </si>
  <si>
    <t>#2182DC</t>
  </si>
  <si>
    <t>#79BA2A</t>
  </si>
  <si>
    <t>#ADDD73</t>
  </si>
  <si>
    <t>#FFEEBA</t>
  </si>
  <si>
    <t>#FF8401</t>
  </si>
  <si>
    <t>#F8A955</t>
  </si>
  <si>
    <t>#5EB0DF</t>
  </si>
  <si>
    <t>#BFE6FF</t>
  </si>
  <si>
    <t>#B347E1</t>
  </si>
  <si>
    <t>#C98DE2</t>
  </si>
  <si>
    <t>#FF4E3A</t>
  </si>
  <si>
    <t>#FF9A8F</t>
  </si>
  <si>
    <t>#FCCD0F</t>
  </si>
  <si>
    <t>#F8E390</t>
  </si>
  <si>
    <t>#929292</t>
  </si>
  <si>
    <t>#B9B9B9</t>
  </si>
  <si>
    <t>Notes</t>
  </si>
  <si>
    <t>ColEcuPan</t>
  </si>
  <si>
    <t>Mapped</t>
  </si>
  <si>
    <t>SurinameGuyana</t>
  </si>
  <si>
    <t>Dutch Guiana colonies</t>
  </si>
  <si>
    <t>Dutch Suriname</t>
  </si>
  <si>
    <t>Colony of Suriname</t>
  </si>
  <si>
    <t>RumpChile</t>
  </si>
  <si>
    <t>SeaBolivia</t>
  </si>
  <si>
    <t>Ar2Bo2PerParUru</t>
  </si>
  <si>
    <t>Ar2Bo2Uru</t>
  </si>
  <si>
    <t>Ar2Bo2</t>
  </si>
  <si>
    <t>Ar2Bo2ParUru</t>
  </si>
  <si>
    <t>Made</t>
  </si>
  <si>
    <t>ModernChile</t>
  </si>
  <si>
    <t>ModernArgentina</t>
  </si>
  <si>
    <t>RumpArgentina</t>
  </si>
  <si>
    <t>ModernBolivia</t>
  </si>
  <si>
    <t>ModernBrazil</t>
  </si>
  <si>
    <t>ModernParaguay</t>
  </si>
  <si>
    <t>ModernUruguay</t>
  </si>
  <si>
    <t>ModernColombia</t>
  </si>
  <si>
    <t>ModernEcuador</t>
  </si>
  <si>
    <t>ModernGuyana</t>
  </si>
  <si>
    <t>ModernPeru</t>
  </si>
  <si>
    <t>ModernSuriname</t>
  </si>
  <si>
    <t>ModernVenezuela</t>
  </si>
  <si>
    <t>Ar2Bo2UruPar</t>
  </si>
  <si>
    <t>Ar2Bo2UruParPer</t>
  </si>
  <si>
    <t>GranColombia</t>
  </si>
  <si>
    <t>VicePeru</t>
  </si>
  <si>
    <t>ERI_1882_ITA/ETH_1855/SOM_1889_ITA/SOL_1884_UK</t>
  </si>
  <si>
    <t>ERI_1952</t>
  </si>
  <si>
    <t>EthiopiaEritreaItSomalia</t>
  </si>
  <si>
    <t>BrSomalia</t>
  </si>
  <si>
    <t>ItSomalia</t>
  </si>
  <si>
    <t>CAR</t>
  </si>
  <si>
    <t>CongoBGabonCARChad</t>
  </si>
  <si>
    <t>CongoB</t>
  </si>
  <si>
    <t>CongoK</t>
  </si>
  <si>
    <t>GUI_1891_FRA/MAL_1890_FRA/IVC_1893_FRA</t>
  </si>
  <si>
    <t>SenBenMalGuiIvc</t>
  </si>
  <si>
    <t>SenBenMalGuiIvcMauNig</t>
  </si>
  <si>
    <t>SenBenMalGuiIvcMauNigBur</t>
  </si>
  <si>
    <t>SenBenMalIvcMauNigBur</t>
  </si>
  <si>
    <t>SenBenIvcMauNigBur</t>
  </si>
  <si>
    <t>BenIvcMauNigBur</t>
  </si>
  <si>
    <t>BenIvcNigBur</t>
  </si>
  <si>
    <t>NigerBurkina</t>
  </si>
  <si>
    <t>MaliSenegal</t>
  </si>
  <si>
    <t>TogoBrTogo</t>
  </si>
  <si>
    <t>RumpGhana</t>
  </si>
  <si>
    <t>RumpGhanaBrTogo</t>
  </si>
  <si>
    <t>BC1BC2FC</t>
  </si>
  <si>
    <t>RumpNigeria</t>
  </si>
  <si>
    <t>Nyasaland Protectorate</t>
  </si>
  <si>
    <t>MLW_1893_UK</t>
  </si>
  <si>
    <t>ZAM_1924_UK/ZIM_1923_UK/MLW_1893_UK</t>
  </si>
  <si>
    <t>ZambiaZimbabweMalawi</t>
  </si>
  <si>
    <t>Tan</t>
  </si>
  <si>
    <t>Zan</t>
  </si>
  <si>
    <t>TanRwaBur</t>
  </si>
  <si>
    <t>OTT_1517</t>
  </si>
  <si>
    <t>NorthSudanSouthSudan</t>
  </si>
  <si>
    <t>EgyptSyria</t>
  </si>
  <si>
    <t>TripFez</t>
  </si>
  <si>
    <t>TripCyr</t>
  </si>
  <si>
    <t>Fezzan</t>
  </si>
  <si>
    <t>RumpMorocco</t>
  </si>
  <si>
    <t>RumpMoroccoSpanishMorocco</t>
  </si>
  <si>
    <t>OrangeFreeState</t>
  </si>
  <si>
    <t>CapeLesotho</t>
  </si>
  <si>
    <t>BritishCameroon</t>
  </si>
  <si>
    <t>FrenchCameroon</t>
  </si>
  <si>
    <t>BrSomaliaItSomalia</t>
  </si>
  <si>
    <t>NorthSudan</t>
  </si>
  <si>
    <t>SouthAfrica</t>
  </si>
  <si>
    <t>Rghana</t>
  </si>
  <si>
    <t>Western Sahara</t>
  </si>
  <si>
    <t>WES_1884_SPA</t>
  </si>
  <si>
    <t>WES_1975</t>
  </si>
  <si>
    <t>El Aaiun</t>
  </si>
  <si>
    <t>27°09′00″N 13°11′56″W</t>
  </si>
  <si>
    <t>Villa Cisneros</t>
  </si>
  <si>
    <t>23°43′N 15°57′W</t>
  </si>
  <si>
    <t>Spanish Possessions in the Sahara</t>
  </si>
  <si>
    <t>Spanish Sahara</t>
  </si>
  <si>
    <t>Province of the Sahara</t>
  </si>
  <si>
    <t>WesternSahara</t>
  </si>
  <si>
    <t>Polity</t>
  </si>
  <si>
    <t xml:space="preserve"> #ff9a8f</t>
  </si>
  <si>
    <t xml:space="preserve"> #19b028</t>
  </si>
  <si>
    <t xml:space="preserve"> #e2c5ee</t>
  </si>
  <si>
    <t xml:space="preserve"> #f5eb2d</t>
  </si>
  <si>
    <t xml:space="preserve"> #44ff57</t>
  </si>
  <si>
    <t xml:space="preserve"> #FF9A8F</t>
  </si>
  <si>
    <t xml:space="preserve"> #b9b9b9</t>
  </si>
  <si>
    <t xml:space="preserve"> #f437ee</t>
  </si>
  <si>
    <t xml:space="preserve"> #ffeeba</t>
  </si>
  <si>
    <t xml:space="preserve"> #bfe6ff</t>
  </si>
  <si>
    <t xml:space="preserve"> #b1aeae</t>
  </si>
  <si>
    <t xml:space="preserve"> #303efa</t>
  </si>
  <si>
    <t xml:space="preserve"> #19b829</t>
  </si>
  <si>
    <t xml:space="preserve"> #ed2323</t>
  </si>
  <si>
    <t xml:space="preserve"> #70f087</t>
  </si>
  <si>
    <t xml:space="preserve"> #27dff7</t>
  </si>
  <si>
    <t xml:space="preserve"> #5eb0df</t>
  </si>
  <si>
    <t xml:space="preserve"> #ffd75d</t>
  </si>
  <si>
    <t xml:space="preserve"> #ffd75d </t>
  </si>
  <si>
    <t>#e41a1c</t>
  </si>
  <si>
    <t>#377eb8</t>
  </si>
  <si>
    <t>#4daf4a</t>
  </si>
  <si>
    <t>#984ea3</t>
  </si>
  <si>
    <t>#ff7f00</t>
  </si>
  <si>
    <t>#ffff33</t>
  </si>
  <si>
    <t>#a65628</t>
  </si>
  <si>
    <t>#f781bf</t>
  </si>
  <si>
    <t>#999999</t>
  </si>
  <si>
    <t>#66c2a5</t>
  </si>
  <si>
    <t>#fc8d62</t>
  </si>
  <si>
    <t>#8da0cb</t>
  </si>
  <si>
    <t>#e78ac3</t>
  </si>
  <si>
    <t>#a6d854</t>
  </si>
  <si>
    <t>#ffd92f</t>
  </si>
  <si>
    <t>#e5c494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</si>
</sst>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m/d/yyyy;@"/>
    <numFmt numFmtId="167" formatCode="0.0%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Consolas"/>
      <family val="2"/>
    </font>
    <font>
      <sz val="12"/>
      <color theme="1"/>
      <name val="Consolas"/>
      <family val="2"/>
    </font>
    <font>
      <sz val="12"/>
      <color theme="1"/>
      <name val="Consolas"/>
      <family val="2"/>
    </font>
    <font>
      <sz val="12"/>
      <color theme="1"/>
      <name val="Consolas"/>
      <family val="2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Calibri"/>
      <family val="2"/>
    </font>
    <font>
      <u/>
      <sz val="12"/>
      <color theme="10"/>
      <name val="Calibri"/>
      <family val="2"/>
    </font>
    <font>
      <sz val="12"/>
      <color rgb="FF1A1A1A"/>
      <name val="Calibri"/>
      <family val="2"/>
    </font>
    <font>
      <sz val="8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name val="Consolas"/>
      <family val="2"/>
    </font>
    <font>
      <sz val="12"/>
      <name val="Consolas"/>
      <family val="2"/>
    </font>
    <font>
      <sz val="12"/>
      <color theme="1"/>
      <name val="Consolas"/>
      <family val="2"/>
    </font>
    <font>
      <b/>
      <sz val="12"/>
      <color theme="1"/>
      <name val="Consolas"/>
      <family val="2"/>
    </font>
    <font>
      <u/>
      <sz val="12"/>
      <name val="Consolas"/>
      <family val="2"/>
    </font>
    <font>
      <sz val="12"/>
      <color theme="10"/>
      <name val="Consolas"/>
      <family val="2"/>
    </font>
    <font>
      <u/>
      <sz val="12"/>
      <color theme="10"/>
      <name val="Consola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46">
    <xf numFmtId="0" fontId="0" fillId="0" borderId="0" xfId="0"/>
    <xf numFmtId="3" fontId="0" fillId="0" borderId="0" xfId="0" applyNumberFormat="1"/>
    <xf numFmtId="0" fontId="8" fillId="0" borderId="0" xfId="3" applyFont="1"/>
    <xf numFmtId="164" fontId="0" fillId="0" borderId="0" xfId="1" applyNumberFormat="1" applyFont="1"/>
    <xf numFmtId="165" fontId="0" fillId="0" borderId="0" xfId="1" applyNumberFormat="1" applyFont="1"/>
    <xf numFmtId="166" fontId="0" fillId="0" borderId="0" xfId="0" applyNumberFormat="1"/>
    <xf numFmtId="167" fontId="0" fillId="0" borderId="0" xfId="2" applyNumberFormat="1" applyFont="1"/>
    <xf numFmtId="0" fontId="7" fillId="0" borderId="0" xfId="0" applyFont="1" applyAlignment="1">
      <alignment horizontal="center" vertical="center" wrapText="1"/>
    </xf>
    <xf numFmtId="166" fontId="7" fillId="0" borderId="0" xfId="0" applyNumberFormat="1" applyFont="1" applyAlignment="1">
      <alignment horizontal="center" vertical="center" wrapText="1"/>
    </xf>
    <xf numFmtId="165" fontId="7" fillId="0" borderId="0" xfId="1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9" fillId="0" borderId="0" xfId="1" applyNumberFormat="1" applyFont="1"/>
    <xf numFmtId="166" fontId="0" fillId="0" borderId="0" xfId="0" applyNumberFormat="1" applyAlignment="1">
      <alignment horizont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3" fillId="0" borderId="0" xfId="3" applyFont="1" applyFill="1" applyBorder="1"/>
    <xf numFmtId="0" fontId="15" fillId="0" borderId="0" xfId="0" applyFont="1"/>
    <xf numFmtId="0" fontId="13" fillId="0" borderId="0" xfId="0" applyFont="1" applyAlignment="1">
      <alignment horizontal="center" vertical="center"/>
    </xf>
    <xf numFmtId="0" fontId="13" fillId="0" borderId="0" xfId="3" applyFont="1" applyFill="1" applyBorder="1" applyAlignment="1">
      <alignment horizontal="center"/>
    </xf>
    <xf numFmtId="0" fontId="4" fillId="0" borderId="0" xfId="0" applyFont="1"/>
    <xf numFmtId="0" fontId="17" fillId="0" borderId="0" xfId="3" applyFont="1"/>
    <xf numFmtId="0" fontId="16" fillId="0" borderId="0" xfId="3" applyFont="1" applyFill="1" applyBorder="1"/>
    <xf numFmtId="0" fontId="6" fillId="0" borderId="0" xfId="3"/>
    <xf numFmtId="0" fontId="3" fillId="0" borderId="0" xfId="0" applyFont="1"/>
    <xf numFmtId="0" fontId="13" fillId="0" borderId="0" xfId="3" applyFont="1" applyFill="1"/>
    <xf numFmtId="0" fontId="13" fillId="0" borderId="0" xfId="0" applyFont="1" applyAlignment="1">
      <alignment horizontal="center"/>
    </xf>
    <xf numFmtId="3" fontId="13" fillId="0" borderId="0" xfId="0" applyNumberFormat="1" applyFont="1"/>
    <xf numFmtId="0" fontId="16" fillId="0" borderId="0" xfId="3" applyFont="1" applyFill="1"/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3" fillId="0" borderId="0" xfId="0" quotePrefix="1" applyFont="1"/>
    <xf numFmtId="2" fontId="3" fillId="0" borderId="0" xfId="0" applyNumberFormat="1" applyFont="1"/>
    <xf numFmtId="0" fontId="16" fillId="0" borderId="0" xfId="3" applyFont="1" applyFill="1" applyAlignment="1">
      <alignment horizontal="left"/>
    </xf>
    <xf numFmtId="0" fontId="16" fillId="0" borderId="0" xfId="0" applyFont="1"/>
    <xf numFmtId="0" fontId="13" fillId="0" borderId="0" xfId="0" applyFont="1" applyAlignment="1">
      <alignment horizontal="right"/>
    </xf>
    <xf numFmtId="0" fontId="13" fillId="2" borderId="0" xfId="0" applyFont="1" applyFill="1"/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18" fillId="0" borderId="0" xfId="3" applyFont="1" applyFill="1"/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6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onsola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onsola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onsola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onsola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onsola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onsolas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onsola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onsola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onsolas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onsolas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onsola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onsola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onsola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onsola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onsola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onsola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onsolas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onsola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onsola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onsola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onsola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onsola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onsola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onsola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onsolas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onsolas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onsola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onsola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onsolas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onsolas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12"/>
        <color auto="1"/>
        <name val="Consolas"/>
        <family val="2"/>
        <scheme val="none"/>
      </font>
    </dxf>
    <dxf>
      <font>
        <strike val="0"/>
        <outline val="0"/>
        <shadow val="0"/>
        <vertAlign val="baseline"/>
        <sz val="12"/>
        <color auto="1"/>
        <name val="Consolas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12"/>
        <color auto="1"/>
        <name val="Consola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numFmt numFmtId="0" formatCode="General"/>
    </dxf>
    <dxf>
      <numFmt numFmtId="0" formatCode="General"/>
    </dxf>
    <dxf>
      <numFmt numFmtId="3" formatCode="#,##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7" formatCode="0.0%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_(* #,##0.0_);_(* \(#,##0.0\);_(* &quot;-&quot;??_);_(@_)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  <dxf>
      <numFmt numFmtId="3" formatCode="#,##0"/>
    </dxf>
    <dxf>
      <numFmt numFmtId="0" formatCode="General"/>
    </dxf>
    <dxf>
      <numFmt numFmtId="166" formatCode="m/d/yyyy;@"/>
      <alignment horizontal="center" vertical="bottom" textRotation="0" wrapText="0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A1A1A"/>
        <name val="Calibri"/>
        <family val="2"/>
        <scheme val="none"/>
      </font>
      <numFmt numFmtId="164" formatCode="_(* #,##0.0_);_(* \(#,##0.0\);_(* &quot;-&quot;??_);_(@_)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theme="1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7B148607-A3E3-614D-B755-A56205275B59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F620DEC0-DA01-1342-BADF-18989B2A02E0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7E19-E547-9665-57478EAAFFB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76873FC-6E2B-344D-88D8-BA7EB1BAFA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7E19-E547-9665-57478EAAFFB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26E190B-1656-074D-A01C-FA182A9378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7E19-E547-9665-57478EAAFFB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EB5B41D-62F0-104D-91BD-57C86AEFA5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7E19-E547-9665-57478EAAFFB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1DD28CD-FB4A-BE4E-BEC2-D584886A42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E19-E547-9665-57478EAAFFB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FC34D82-76BC-6C43-A279-20C4E75C4A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E19-E547-9665-57478EAAFFB5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47D46DA-91DA-FE41-A5EB-07C8C41C19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7E19-E547-9665-57478EAAFFB5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A08EEA6-51A7-BD43-B74F-BE8F9A2B60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7E19-E547-9665-57478EAAFFB5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518642DD-2564-D142-B47A-52EF5CB4BC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7E19-E547-9665-57478EAAFFB5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D6D1340-58A9-F44E-A6C9-E00B007B26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7E19-E547-9665-57478EAAFFB5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4DC80BDA-0D5A-4A44-9BE3-EF42FFB9F7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7E19-E547-9665-57478EAAFFB5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3C19F779-FA46-DA49-AACF-756F9CA0CC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7E19-E547-9665-57478EAAFFB5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69F3211F-9D78-A441-BE44-8BE14FA636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7E19-E547-9665-57478EAAFFB5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5E32244-C289-634F-9412-814100B4A1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7E19-E547-9665-57478EAAFFB5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FF5024DF-5408-2345-90AB-F2ACABB52D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7E19-E547-9665-57478EAAFFB5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AEDCAA4A-78A8-0940-8410-2FCD39557A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7E19-E547-9665-57478EAAFFB5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ECEFE2DD-21DA-0440-8B26-BCC48150C0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7E19-E547-9665-57478EAAFFB5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E80F038A-12A7-4D43-B22F-2F68574747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7E19-E547-9665-57478EAAFFB5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D2514B26-DD34-B548-A068-19F22F0F74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7E19-E547-9665-57478EAAFFB5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DD48BE45-5C4E-2545-8DF7-3FE82D5BE5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7E19-E547-9665-57478EAAFFB5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6EEE8BBD-45B7-D24C-9FBB-F09CFAAEB4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7E19-E547-9665-57478EAAFFB5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FF9733D4-C520-B847-B9CA-1E0E39D3EC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7E19-E547-9665-57478EAAFFB5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2F163431-AF25-9042-B547-67FE4ACD6D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7E19-E547-9665-57478EAAFFB5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9A03AFE6-5E0F-4F42-B8B7-47342C3557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7E19-E547-9665-57478EAAFFB5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DF316D4D-A1DD-9647-BA9A-B2F3E63F6D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7E19-E547-9665-57478EAAFFB5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CC4F7A47-32AA-7F4B-BC80-E3A9D755FD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7E19-E547-9665-57478EAAFFB5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0EDD2718-CBAE-6445-8F6D-95C03E07BE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7E19-E547-9665-57478EAAFFB5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AE39992B-B1D3-9B4C-9FC3-5D28D2BC25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7E19-E547-9665-57478EAAFFB5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9167E2D5-D7CB-0F47-8C09-9EAE13A7FC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7E19-E547-9665-57478EAAFFB5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E01C6521-3D5D-BF4E-9A07-47661AB902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7E19-E547-9665-57478EAAFFB5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5ABD3F88-0C09-C640-BFCC-BBD277C3A8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7E19-E547-9665-57478EAAFFB5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6E09C08D-2044-8E45-BAE5-925793C69D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7E19-E547-9665-57478EAAFFB5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9471B7C5-EFE5-724B-AA8C-64D8C18145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7E19-E547-9665-57478EAAFFB5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47B5CAEF-F88F-144D-BB48-77350BA0AB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7E19-E547-9665-57478EAAFFB5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B9AF5EDF-08CF-5D48-A990-F08758BCBC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7E19-E547-9665-57478EAAFFB5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A8BD4994-5040-F64B-9483-0D13494E66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7E19-E547-9665-57478EAAFFB5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942F8178-8C05-9543-BD20-EB79E83909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7E19-E547-9665-57478EAAFFB5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891BDE1A-1C19-3E4A-9699-FD65DEE68B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7E19-E547-9665-57478EAAFFB5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B3EFE4CD-59F6-DE4A-81E2-773FEA1C42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7E19-E547-9665-57478EAAFFB5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17D1051C-A57D-CA42-BF3F-F9D07B3B9E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7E19-E547-9665-57478EAAFFB5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1275BC80-324A-6541-85D8-EB4E76A1CD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7E19-E547-9665-57478EAAFFB5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DADB0675-1D9E-D647-ACA8-72275BD9D9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7E19-E547-9665-57478EAAFFB5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231D6625-C524-DE43-BBCC-EC94BA96BC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7E19-E547-9665-57478EAAFFB5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6CC3417B-6B80-FA4B-8F2B-E57164FA68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7E19-E547-9665-57478EAAFFB5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B2AD9DEC-2191-8B4C-BC6F-AAF6EEB87B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7E19-E547-9665-57478EAAFFB5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E373212C-6236-C044-AF43-C3565646B1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7E19-E547-9665-57478EAAFFB5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EDD8A078-4EAF-D946-AD96-217DF1CCC6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7E19-E547-9665-57478EAAFFB5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04ADC9EC-8E7A-694C-928B-A9A2CB9BD1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7E19-E547-9665-57478EAAFFB5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70A9B823-7582-1440-A64D-7735839B45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7E19-E547-9665-57478EAAFFB5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BD28C221-6AA8-1B44-9B08-37F3A22FA9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7E19-E547-9665-57478EAAFFB5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B6D691F1-B041-0F46-B35A-75E6547FC6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7E19-E547-9665-57478EAAFFB5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69AACAF0-3693-5544-8610-074F3823CE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7E19-E547-9665-57478EAAFFB5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8B1B272C-468E-474B-9FFB-A4E21AB74F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7E19-E547-9665-57478EAAFFB5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122E30BF-204C-5B45-AD88-885BB4CCA2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7E19-E547-9665-57478EAAFFB5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ACC1DF91-8268-654E-9F08-DD13968323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7E19-E547-9665-57478EAAFFB5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83898640-629D-124D-92EF-92E0ECB2A8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7E19-E547-9665-57478EAAFFB5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D9A7A065-8946-0244-AF86-FA2C924D36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7E19-E547-9665-57478EAAFFB5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03E02132-B104-CF4E-B6B7-3B57BC932E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7E19-E547-9665-57478EAAFFB5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F3A6F51C-6F5F-7A48-8AA6-E2B4F2415B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7E19-E547-9665-57478EAAFFB5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D44489FC-6204-6045-A642-4F84398278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7E19-E547-9665-57478EAAFFB5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B72FC534-620E-AF4A-BC38-D60623A727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7E19-E547-9665-57478EAAFFB5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35ED94A2-3B0F-534D-8340-EC47324B44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7E19-E547-9665-57478EAAFFB5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45EE1069-158F-A040-AFD3-E6C37465C6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7E19-E547-9665-57478EAAFFB5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3B40729B-1D42-B144-BF53-0DF605CD5F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7E19-E547-9665-57478EAAFFB5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fld id="{52111425-8250-734D-B217-BAAE296D32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7E19-E547-9665-57478EAAFFB5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6D75E87D-93E8-064B-8F77-D4E5E7CC89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7E19-E547-9665-57478EAAFFB5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30EE5CD6-9586-7349-A98C-3F442D180D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7E19-E547-9665-57478EAAFFB5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ECCCDEBD-E210-AC4B-BD84-AAEBE08970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7E19-E547-9665-57478EAAFFB5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fld id="{FBCAC094-8B8F-3E42-826E-9C163A9537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7E19-E547-9665-57478EAAFFB5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22B3947A-D84E-6243-9F07-8AF6FECD34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7E19-E547-9665-57478EAAFFB5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16C50F7F-B450-4E46-8E6C-D43E849838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7E19-E547-9665-57478EAAFFB5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EC54E85D-58BC-AD40-BD51-C45B61C06F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7E19-E547-9665-57478EAAFFB5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fld id="{30B0EE04-0253-C64B-AFBC-5D67565AE8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7E19-E547-9665-57478EAAFFB5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10C8942A-4171-0E48-9550-BD17D5DDF9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7E19-E547-9665-57478EAAFFB5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7EB44FE8-FCF1-ED44-864C-EFDDAC4131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7E19-E547-9665-57478EAAFFB5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FFD60BA3-A930-9B41-87B8-027F2899AA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7E19-E547-9665-57478EAAFFB5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fld id="{465E1158-568D-E44B-BD6F-8DE4FFC9DB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7E19-E547-9665-57478EAAFFB5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E477ADFC-9411-AB4A-9274-1A9C76FCCB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7E19-E547-9665-57478EAAFFB5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A25335A4-EDA6-CB41-A124-1CA4826C82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7E19-E547-9665-57478EAAFFB5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38B31E2C-433A-4441-A04B-C0EDA79F41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7E19-E547-9665-57478EAAFFB5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fld id="{1F955B08-3A45-0D47-9481-88764F02C3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7E19-E547-9665-57478EAAFFB5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9EEE6D7A-3B14-2440-A7BA-C5FC5B5CFF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7E19-E547-9665-57478EAAFFB5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fld id="{556254C8-AA9C-EC4B-BA01-7FAEF36A7F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7E19-E547-9665-57478EAAFFB5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6FE90056-5D52-FE49-9D76-CA170D0AEB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7E19-E547-9665-57478EAAFFB5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fld id="{C5449E20-89EB-BE47-9E99-21882A8C11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7E19-E547-9665-57478EAAFFB5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529B31D7-E1AB-3A40-8DDF-4FD68215F0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7E19-E547-9665-57478EAAFFB5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fld id="{E9A3D4DB-92CC-1945-BBF4-8CD28D56E7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7E19-E547-9665-57478EAAFFB5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fld id="{92ED1B0F-D32D-814F-995C-F5E807E09D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7E19-E547-9665-57478EAAFFB5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fld id="{B7B30112-5868-594D-821B-DCFC6ACF31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7E19-E547-9665-57478EAAFFB5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fld id="{437710E0-786A-3244-BE98-DCEF625EAB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7E19-E547-9665-57478EAAFFB5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fld id="{48A529F0-98D9-554F-89AC-D114DC23CD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7E19-E547-9665-57478EAAFFB5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fld id="{FFA67CA1-ABBB-724E-9460-2C65075A68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7E19-E547-9665-57478EAAFFB5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fld id="{2D40DB54-0CF2-C54B-BB90-C8748C8382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7E19-E547-9665-57478EAAFFB5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fld id="{E838B903-0E51-564F-BC0B-A61ECEE0AC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7E19-E547-9665-57478EAAFFB5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fld id="{7B5DA233-C676-A844-8324-AEBD7CFDAE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7E19-E547-9665-57478EAAFFB5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fld id="{68A6E9D0-D637-FA4E-A05E-2A609AF4DD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7E19-E547-9665-57478EAAFFB5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fld id="{60D2A92D-E067-A747-9B80-9B59EFD1E1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7E19-E547-9665-57478EAAFFB5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9EB5FCAC-A1EE-3E43-B3B6-AFDCA7C3E4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7E19-E547-9665-57478EAAFFB5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fld id="{EE8A5E93-EB3B-BE42-8A8A-0F4EE8B7AE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7E19-E547-9665-57478EAAFFB5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fld id="{FD71854E-5D2B-B54C-97E1-96A8D743CC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7E19-E547-9665-57478EAAFFB5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fld id="{2CFB1214-0E5C-6049-8581-E458E51C0D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7E19-E547-9665-57478EAAFFB5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fld id="{8859003E-4BD2-804B-AD58-258093703C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7E19-E547-9665-57478EAAFFB5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fld id="{B0314C9F-7CF1-C143-A3AD-1CCB774F98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7E19-E547-9665-57478EAAFFB5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fld id="{FA00BA2A-BBAF-B44D-B99B-2A9C728E93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7E19-E547-9665-57478EAAFFB5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fld id="{47D245BE-AD8A-0A4F-B547-42DFB84D33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7E19-E547-9665-57478EAAFFB5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fld id="{359C4F22-77CF-8A47-97A6-FB539FF5F7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7E19-E547-9665-57478EAAFFB5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fld id="{7535E931-D87F-0B48-9A5E-C8ADFAFB21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7E19-E547-9665-57478EAAFFB5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fld id="{A71EBC9B-BCA5-4D4D-B614-81A378E6C5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7E19-E547-9665-57478EAAFFB5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fld id="{90CA7280-52E7-4A4A-9652-30D780615B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7E19-E547-9665-57478EAAFFB5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fld id="{9090E348-1F58-0543-81E2-67B1B64BF5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7E19-E547-9665-57478EAAFFB5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fld id="{7F50DCE2-426C-A645-89E4-05C9237987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7E19-E547-9665-57478EAAFFB5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fld id="{B01F3A7B-DAB1-5D45-A576-4D0DB403CB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7E19-E547-9665-57478EAAFFB5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fld id="{8FA4D064-876D-7C40-87AF-8587BA8281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7E19-E547-9665-57478EAAFFB5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fld id="{58B99093-06E6-F447-976F-CBB9DE4B71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7E19-E547-9665-57478EAAFFB5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fld id="{0995EDE9-2297-B04B-A3A5-570B7EC0EA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7E19-E547-9665-57478EAAFFB5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fld id="{17E3A8A9-85C3-6E44-AA46-C078ACC394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7E19-E547-9665-57478EAAFFB5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fld id="{04035AA4-35A2-3349-ACDF-780A85584A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7E19-E547-9665-57478EAAFFB5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fld id="{F226A3E5-5307-9D48-B7F8-40382934D1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7E19-E547-9665-57478EAAFFB5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fld id="{3BD3291E-B334-5C47-835D-EB936A0B19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7E19-E547-9665-57478EAAFFB5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fld id="{E34BE797-5DEE-844E-9359-667007F4CC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7E19-E547-9665-57478EAAFFB5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fld id="{F0600C7D-B950-E746-A16C-81BB995F63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7E19-E547-9665-57478EAAFFB5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fld id="{96CD577D-BCE3-4244-81C0-B51CAFBA54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7E19-E547-9665-57478EAAFFB5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fld id="{9CA8334A-76FD-8D4F-8133-EB2D958C7A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7E19-E547-9665-57478EAAFFB5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fld id="{2857D85B-665F-1B4C-9B95-1AA5BB68D4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7E19-E547-9665-57478EAAFFB5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fld id="{03E2822C-7D8B-9D45-BFF6-EBFB04FC82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7E19-E547-9665-57478EAAFFB5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fld id="{69A14EB1-3116-724C-B950-A67532AF36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7E19-E547-9665-57478EAAFFB5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fld id="{DEE5A2F6-7F38-E949-887E-75FC11A9CB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7E19-E547-9665-57478EAAFFB5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fld id="{34022D8D-88EF-8D45-9486-373860D8DD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7E19-E547-9665-57478EAAFFB5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fld id="{1B9D35BF-13B3-B84A-8106-B3040A44BA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7E19-E547-9665-57478EAAFFB5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fld id="{CFD91746-1581-1545-86BE-4E136DA542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7E19-E547-9665-57478EAAFFB5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fld id="{EF5BF3F5-0DCE-5F4A-84F3-72518293F0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7E19-E547-9665-57478EAAFFB5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fld id="{86FADFBC-9181-B14E-AEF0-94284AB757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7E19-E547-9665-57478EAAFFB5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fld id="{CD255DEA-EB3C-844B-A7B5-1FDCCD0B5F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7E19-E547-9665-57478EAAFFB5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fld id="{FF25135B-0D05-894B-8761-662B54E5BE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7E19-E547-9665-57478EAAFFB5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fld id="{3B6870A1-CEF4-B248-AD73-754B8DC9A4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7E19-E547-9665-57478EAAFFB5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fld id="{C3372312-3CC5-2E46-A554-D814FA1071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7E19-E547-9665-57478EAAFFB5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fld id="{18B7AA2C-4FB0-E940-B55E-864F4998DF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7E19-E547-9665-57478EAAFFB5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fld id="{8B11B2C7-D3D3-8245-B1C0-800AB08E0B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7E19-E547-9665-57478EAAFFB5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fld id="{6A61530F-193D-454C-B25F-A4DA96486D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7E19-E547-9665-57478EAAFFB5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fld id="{6FF94A94-31D0-084F-93C3-50015DADCB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7E19-E547-9665-57478EAAFFB5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fld id="{AFB95D40-216E-C143-9AB0-C69670AFC3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7E19-E547-9665-57478EAAFFB5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fld id="{FE86BC23-F470-384D-B773-5AECBD3A4E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7E19-E547-9665-57478EAAFFB5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fld id="{3A601F97-0595-064E-9528-6A6CA56B69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7E19-E547-9665-57478EAAFFB5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fld id="{9C6DEB4E-919B-F148-97A3-E25DC4907F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7E19-E547-9665-57478EAAFFB5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fld id="{65B40F75-4644-8B48-A039-523B3B645B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7E19-E547-9665-57478EAAFFB5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fld id="{1B80AB7E-0FC2-FC46-BCC2-A0DB7A7831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7E19-E547-9665-57478EAAFFB5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fld id="{BB82CB51-E48E-BB45-9672-C6ECB2EA8A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7E19-E547-9665-57478EAAFFB5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fld id="{C7758B07-1F7A-B445-88F5-C40BB30CBD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7E19-E547-9665-57478EAAFFB5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fld id="{F3A6C2B7-0F66-3341-A86F-23FBD7AF3C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7E19-E547-9665-57478EAAFFB5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fld id="{1E4857F4-5409-8947-94D6-5337E4644C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7E19-E547-9665-57478EAAFFB5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fld id="{A06C54EF-3645-3A4E-8144-CF52B346B2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7E19-E547-9665-57478EAAFFB5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fld id="{7899C7F6-3A5A-F84C-A846-6644C02CE6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7E19-E547-9665-57478EAAFFB5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fld id="{29EF8D10-6DBA-134A-9128-48D975E071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7E19-E547-9665-57478EAAFFB5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fld id="{26D43850-27D7-164E-89F5-8498C537B0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7E19-E547-9665-57478EAAFFB5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fld id="{AC49F3DC-3B44-4D44-B712-DF6C5A531A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7E19-E547-9665-57478EAAFFB5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fld id="{EF3BAF8A-0E36-D847-BB9D-022FDA6392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7E19-E547-9665-57478EAAFFB5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fld id="{E86ADD09-9800-1D45-B04E-D30DBF0F8B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7E19-E547-9665-57478EAAFFB5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fld id="{6141884A-9C3A-AA4E-986C-CD3703DEE6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7E19-E547-9665-57478EAAFFB5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fld id="{FF40AC38-63BB-E54B-865E-E336A5A081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7E19-E547-9665-57478EAAFFB5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fld id="{3E73E0D6-8AB5-C545-9C0D-E0F4D16F03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7E19-E547-9665-57478EAAFFB5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fld id="{825EF5CD-E395-CA43-87F5-63E46A3FA8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7E19-E547-9665-57478EAAFFB5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fld id="{05D5E9CE-78CC-3D47-BDC2-8E5DB23989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7E19-E547-9665-57478EAAFFB5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fld id="{2381D42C-C57B-034A-A846-962743F125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7E19-E547-9665-57478EAAFFB5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fld id="{72B3ED83-FCD9-4B4E-8D4B-CDA2E861DE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7E19-E547-9665-57478EAAFFB5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fld id="{1C59AF0B-E33C-9C49-83BA-01CBDDD103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7E19-E547-9665-57478EAAFFB5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fld id="{DD228F04-DD78-4548-8C37-0833C1E745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7E19-E547-9665-57478EAAFFB5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fld id="{C586E921-5179-8842-8B11-5253EB7F68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7E19-E547-9665-57478EAAFFB5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fld id="{D2320EA2-2CA0-0443-930E-FF51224D2C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7E19-E547-9665-57478EAAFFB5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fld id="{9F8A6246-605B-A74C-B2AD-F2FAFFD12D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7E19-E547-9665-57478EAAFFB5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fld id="{83051D12-E522-584F-B5D0-996A9D0E14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7E19-E547-9665-57478EAAFFB5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fld id="{334CAFAB-5DFF-BF47-8EAD-E48921E90F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7E19-E547-9665-57478EAAFFB5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fld id="{A6E685AA-27E9-3548-98DF-A37B780BB0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7E19-E547-9665-57478EAAFFB5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fld id="{7A6F007A-B302-5C45-AEED-902862879F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7E19-E547-9665-57478EAAFFB5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fld id="{684B550A-8F2B-3B4E-B301-F8C42E12E3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7E19-E547-9665-57478EAAFFB5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fld id="{5E9CDD8B-945A-484F-B074-69E2413A81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7E19-E547-9665-57478EAAFFB5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fld id="{DB044927-17BF-3640-BAA8-1259CA732A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7E19-E547-9665-57478EAAFFB5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fld id="{61F5985A-6F1A-2A4D-B123-C1E632682C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7E19-E547-9665-57478EAAFFB5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fld id="{6CDF7301-56E4-5846-AFAE-D01C476E6D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7E19-E547-9665-57478EAAFFB5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fld id="{0008A3C5-37EE-CF4E-B468-2813B6B261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7E19-E547-9665-57478EAAFFB5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fld id="{B23A8597-8DF3-994E-BC2C-F6643C99F0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7E19-E547-9665-57478EAAFFB5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fld id="{7FA70A70-93BD-7049-A35B-C29223B188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7E19-E547-9665-57478EAAFFB5}"/>
                </c:ext>
              </c:extLst>
            </c:dLbl>
            <c:dLbl>
              <c:idx val="181"/>
              <c:tx>
                <c:rich>
                  <a:bodyPr/>
                  <a:lstStyle/>
                  <a:p>
                    <a:fld id="{17768B20-3ACD-5E46-8BBC-B50CC3FBFD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7E19-E547-9665-57478EAAFFB5}"/>
                </c:ext>
              </c:extLst>
            </c:dLbl>
            <c:dLbl>
              <c:idx val="182"/>
              <c:tx>
                <c:rich>
                  <a:bodyPr/>
                  <a:lstStyle/>
                  <a:p>
                    <a:fld id="{96D06FB3-A8AD-714C-9881-660EC1E91A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7E19-E547-9665-57478EAAFFB5}"/>
                </c:ext>
              </c:extLst>
            </c:dLbl>
            <c:dLbl>
              <c:idx val="183"/>
              <c:tx>
                <c:rich>
                  <a:bodyPr/>
                  <a:lstStyle/>
                  <a:p>
                    <a:fld id="{8FC10683-D5CA-C549-9658-963D6CE6C1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7E19-E547-9665-57478EAAFFB5}"/>
                </c:ext>
              </c:extLst>
            </c:dLbl>
            <c:dLbl>
              <c:idx val="184"/>
              <c:tx>
                <c:rich>
                  <a:bodyPr/>
                  <a:lstStyle/>
                  <a:p>
                    <a:fld id="{23F7F43F-20F1-174E-8319-C91E40E758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7E19-E547-9665-57478EAAFFB5}"/>
                </c:ext>
              </c:extLst>
            </c:dLbl>
            <c:dLbl>
              <c:idx val="185"/>
              <c:tx>
                <c:rich>
                  <a:bodyPr/>
                  <a:lstStyle/>
                  <a:p>
                    <a:fld id="{C2040F67-F042-AA4E-AFD0-B7144FAB51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7E19-E547-9665-57478EAAFFB5}"/>
                </c:ext>
              </c:extLst>
            </c:dLbl>
            <c:dLbl>
              <c:idx val="186"/>
              <c:tx>
                <c:rich>
                  <a:bodyPr/>
                  <a:lstStyle/>
                  <a:p>
                    <a:fld id="{CF59D4D0-B98E-7B43-9D51-08A9CDF4CC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7E19-E547-9665-57478EAAFFB5}"/>
                </c:ext>
              </c:extLst>
            </c:dLbl>
            <c:dLbl>
              <c:idx val="187"/>
              <c:tx>
                <c:rich>
                  <a:bodyPr/>
                  <a:lstStyle/>
                  <a:p>
                    <a:fld id="{96EC1EC3-A95E-1541-83EC-4EC1647452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7E19-E547-9665-57478EAAFFB5}"/>
                </c:ext>
              </c:extLst>
            </c:dLbl>
            <c:dLbl>
              <c:idx val="188"/>
              <c:tx>
                <c:rich>
                  <a:bodyPr/>
                  <a:lstStyle/>
                  <a:p>
                    <a:fld id="{D7EBB1EF-1DF6-5B4C-825B-29BFBB9D4D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7E19-E547-9665-57478EAAFFB5}"/>
                </c:ext>
              </c:extLst>
            </c:dLbl>
            <c:dLbl>
              <c:idx val="189"/>
              <c:tx>
                <c:rich>
                  <a:bodyPr/>
                  <a:lstStyle/>
                  <a:p>
                    <a:fld id="{B84B4752-6388-4F43-9E7C-2302BEE4A1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7E19-E547-9665-57478EAAFFB5}"/>
                </c:ext>
              </c:extLst>
            </c:dLbl>
            <c:dLbl>
              <c:idx val="190"/>
              <c:tx>
                <c:rich>
                  <a:bodyPr/>
                  <a:lstStyle/>
                  <a:p>
                    <a:fld id="{E9E73C29-41DA-904A-9485-2E1E1DE974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7E19-E547-9665-57478EAAFFB5}"/>
                </c:ext>
              </c:extLst>
            </c:dLbl>
            <c:dLbl>
              <c:idx val="191"/>
              <c:tx>
                <c:rich>
                  <a:bodyPr/>
                  <a:lstStyle/>
                  <a:p>
                    <a:fld id="{4839DDD0-8EDF-6A44-AF51-782AAADF4E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7E19-E547-9665-57478EAAFFB5}"/>
                </c:ext>
              </c:extLst>
            </c:dLbl>
            <c:dLbl>
              <c:idx val="192"/>
              <c:tx>
                <c:rich>
                  <a:bodyPr/>
                  <a:lstStyle/>
                  <a:p>
                    <a:fld id="{7DB7A9E9-B162-2C46-9A65-AB8B0BC37E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7E19-E547-9665-57478EAAFFB5}"/>
                </c:ext>
              </c:extLst>
            </c:dLbl>
            <c:dLbl>
              <c:idx val="193"/>
              <c:tx>
                <c:rich>
                  <a:bodyPr/>
                  <a:lstStyle/>
                  <a:p>
                    <a:fld id="{45B5CD77-2B2F-3F44-9445-964E9BF352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7E19-E547-9665-57478EAAFFB5}"/>
                </c:ext>
              </c:extLst>
            </c:dLbl>
            <c:dLbl>
              <c:idx val="194"/>
              <c:tx>
                <c:rich>
                  <a:bodyPr/>
                  <a:lstStyle/>
                  <a:p>
                    <a:fld id="{CAA80000-51A6-944C-AE10-CCAF8388E0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7E19-E547-9665-57478EAAFFB5}"/>
                </c:ext>
              </c:extLst>
            </c:dLbl>
            <c:dLbl>
              <c:idx val="195"/>
              <c:tx>
                <c:rich>
                  <a:bodyPr/>
                  <a:lstStyle/>
                  <a:p>
                    <a:fld id="{B5A70BE5-1743-5541-961C-72A55503BF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7E19-E547-9665-57478EAAFF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Modern!$C$2:$C$197</c:f>
              <c:numCache>
                <c:formatCode>#,##0</c:formatCode>
                <c:ptCount val="196"/>
                <c:pt idx="0">
                  <c:v>176</c:v>
                </c:pt>
                <c:pt idx="1">
                  <c:v>196</c:v>
                </c:pt>
                <c:pt idx="2">
                  <c:v>156</c:v>
                </c:pt>
                <c:pt idx="3">
                  <c:v>147</c:v>
                </c:pt>
                <c:pt idx="4">
                  <c:v>193</c:v>
                </c:pt>
                <c:pt idx="5">
                  <c:v>153</c:v>
                </c:pt>
                <c:pt idx="6">
                  <c:v>190</c:v>
                </c:pt>
                <c:pt idx="7">
                  <c:v>173</c:v>
                </c:pt>
                <c:pt idx="8">
                  <c:v>18</c:v>
                </c:pt>
                <c:pt idx="9">
                  <c:v>174</c:v>
                </c:pt>
                <c:pt idx="10">
                  <c:v>184</c:v>
                </c:pt>
                <c:pt idx="11">
                  <c:v>110</c:v>
                </c:pt>
                <c:pt idx="12">
                  <c:v>140</c:v>
                </c:pt>
                <c:pt idx="13">
                  <c:v>90</c:v>
                </c:pt>
                <c:pt idx="14">
                  <c:v>188</c:v>
                </c:pt>
                <c:pt idx="15">
                  <c:v>159</c:v>
                </c:pt>
                <c:pt idx="16">
                  <c:v>89</c:v>
                </c:pt>
                <c:pt idx="17">
                  <c:v>119</c:v>
                </c:pt>
                <c:pt idx="18">
                  <c:v>105</c:v>
                </c:pt>
                <c:pt idx="19">
                  <c:v>129</c:v>
                </c:pt>
                <c:pt idx="20">
                  <c:v>65</c:v>
                </c:pt>
                <c:pt idx="21">
                  <c:v>71</c:v>
                </c:pt>
                <c:pt idx="22">
                  <c:v>167</c:v>
                </c:pt>
                <c:pt idx="23">
                  <c:v>122</c:v>
                </c:pt>
                <c:pt idx="24">
                  <c:v>189</c:v>
                </c:pt>
                <c:pt idx="25">
                  <c:v>107</c:v>
                </c:pt>
                <c:pt idx="26">
                  <c:v>37</c:v>
                </c:pt>
                <c:pt idx="27">
                  <c:v>28</c:v>
                </c:pt>
                <c:pt idx="28">
                  <c:v>172</c:v>
                </c:pt>
                <c:pt idx="29">
                  <c:v>136</c:v>
                </c:pt>
                <c:pt idx="30">
                  <c:v>19</c:v>
                </c:pt>
                <c:pt idx="31">
                  <c:v>146</c:v>
                </c:pt>
                <c:pt idx="32">
                  <c:v>186</c:v>
                </c:pt>
                <c:pt idx="33">
                  <c:v>182</c:v>
                </c:pt>
                <c:pt idx="34">
                  <c:v>74</c:v>
                </c:pt>
                <c:pt idx="35">
                  <c:v>178</c:v>
                </c:pt>
                <c:pt idx="36">
                  <c:v>157</c:v>
                </c:pt>
                <c:pt idx="37">
                  <c:v>135</c:v>
                </c:pt>
                <c:pt idx="38">
                  <c:v>181</c:v>
                </c:pt>
                <c:pt idx="39">
                  <c:v>22</c:v>
                </c:pt>
                <c:pt idx="40">
                  <c:v>160</c:v>
                </c:pt>
                <c:pt idx="41">
                  <c:v>175</c:v>
                </c:pt>
                <c:pt idx="42">
                  <c:v>111</c:v>
                </c:pt>
                <c:pt idx="43">
                  <c:v>84</c:v>
                </c:pt>
                <c:pt idx="44">
                  <c:v>112</c:v>
                </c:pt>
                <c:pt idx="45">
                  <c:v>183</c:v>
                </c:pt>
                <c:pt idx="46">
                  <c:v>12</c:v>
                </c:pt>
                <c:pt idx="47">
                  <c:v>121</c:v>
                </c:pt>
                <c:pt idx="48">
                  <c:v>102</c:v>
                </c:pt>
                <c:pt idx="49">
                  <c:v>124</c:v>
                </c:pt>
                <c:pt idx="50">
                  <c:v>155</c:v>
                </c:pt>
                <c:pt idx="51">
                  <c:v>141</c:v>
                </c:pt>
                <c:pt idx="52">
                  <c:v>169</c:v>
                </c:pt>
                <c:pt idx="53">
                  <c:v>103</c:v>
                </c:pt>
                <c:pt idx="54">
                  <c:v>118</c:v>
                </c:pt>
                <c:pt idx="55">
                  <c:v>106</c:v>
                </c:pt>
                <c:pt idx="56">
                  <c:v>114</c:v>
                </c:pt>
                <c:pt idx="57">
                  <c:v>57</c:v>
                </c:pt>
                <c:pt idx="58">
                  <c:v>108</c:v>
                </c:pt>
                <c:pt idx="59">
                  <c:v>123</c:v>
                </c:pt>
                <c:pt idx="60">
                  <c:v>116</c:v>
                </c:pt>
                <c:pt idx="61">
                  <c:v>23</c:v>
                </c:pt>
                <c:pt idx="62">
                  <c:v>11</c:v>
                </c:pt>
                <c:pt idx="63">
                  <c:v>168</c:v>
                </c:pt>
                <c:pt idx="64">
                  <c:v>98</c:v>
                </c:pt>
                <c:pt idx="65">
                  <c:v>83</c:v>
                </c:pt>
                <c:pt idx="66">
                  <c:v>165</c:v>
                </c:pt>
                <c:pt idx="67">
                  <c:v>139</c:v>
                </c:pt>
                <c:pt idx="68">
                  <c:v>42</c:v>
                </c:pt>
                <c:pt idx="69">
                  <c:v>96</c:v>
                </c:pt>
                <c:pt idx="70">
                  <c:v>33</c:v>
                </c:pt>
                <c:pt idx="71">
                  <c:v>85</c:v>
                </c:pt>
                <c:pt idx="72">
                  <c:v>25</c:v>
                </c:pt>
                <c:pt idx="73">
                  <c:v>16</c:v>
                </c:pt>
                <c:pt idx="74">
                  <c:v>40</c:v>
                </c:pt>
                <c:pt idx="75">
                  <c:v>132</c:v>
                </c:pt>
                <c:pt idx="76">
                  <c:v>161</c:v>
                </c:pt>
                <c:pt idx="77">
                  <c:v>158</c:v>
                </c:pt>
                <c:pt idx="78">
                  <c:v>151</c:v>
                </c:pt>
                <c:pt idx="79">
                  <c:v>191</c:v>
                </c:pt>
                <c:pt idx="80">
                  <c:v>51</c:v>
                </c:pt>
                <c:pt idx="81">
                  <c:v>52</c:v>
                </c:pt>
                <c:pt idx="82">
                  <c:v>88</c:v>
                </c:pt>
                <c:pt idx="83">
                  <c:v>101</c:v>
                </c:pt>
                <c:pt idx="84">
                  <c:v>78</c:v>
                </c:pt>
                <c:pt idx="85">
                  <c:v>61</c:v>
                </c:pt>
                <c:pt idx="86">
                  <c:v>113</c:v>
                </c:pt>
                <c:pt idx="87">
                  <c:v>171</c:v>
                </c:pt>
                <c:pt idx="88">
                  <c:v>49</c:v>
                </c:pt>
                <c:pt idx="89">
                  <c:v>145</c:v>
                </c:pt>
                <c:pt idx="90">
                  <c:v>43</c:v>
                </c:pt>
                <c:pt idx="91">
                  <c:v>66</c:v>
                </c:pt>
                <c:pt idx="92">
                  <c:v>192</c:v>
                </c:pt>
                <c:pt idx="93">
                  <c:v>97</c:v>
                </c:pt>
                <c:pt idx="94">
                  <c:v>87</c:v>
                </c:pt>
                <c:pt idx="95">
                  <c:v>94</c:v>
                </c:pt>
                <c:pt idx="96">
                  <c:v>62</c:v>
                </c:pt>
                <c:pt idx="97">
                  <c:v>185</c:v>
                </c:pt>
                <c:pt idx="98">
                  <c:v>77</c:v>
                </c:pt>
                <c:pt idx="99">
                  <c:v>179</c:v>
                </c:pt>
                <c:pt idx="100">
                  <c:v>46</c:v>
                </c:pt>
                <c:pt idx="101">
                  <c:v>170</c:v>
                </c:pt>
                <c:pt idx="102">
                  <c:v>152</c:v>
                </c:pt>
                <c:pt idx="103">
                  <c:v>130</c:v>
                </c:pt>
                <c:pt idx="104">
                  <c:v>149</c:v>
                </c:pt>
                <c:pt idx="105">
                  <c:v>117</c:v>
                </c:pt>
                <c:pt idx="106">
                  <c:v>138</c:v>
                </c:pt>
                <c:pt idx="107">
                  <c:v>82</c:v>
                </c:pt>
                <c:pt idx="108">
                  <c:v>134</c:v>
                </c:pt>
                <c:pt idx="109">
                  <c:v>38</c:v>
                </c:pt>
                <c:pt idx="110">
                  <c:v>17</c:v>
                </c:pt>
                <c:pt idx="111">
                  <c:v>76</c:v>
                </c:pt>
                <c:pt idx="112">
                  <c:v>73</c:v>
                </c:pt>
                <c:pt idx="113">
                  <c:v>47</c:v>
                </c:pt>
                <c:pt idx="114">
                  <c:v>81</c:v>
                </c:pt>
                <c:pt idx="115">
                  <c:v>29</c:v>
                </c:pt>
                <c:pt idx="116">
                  <c:v>144</c:v>
                </c:pt>
                <c:pt idx="117">
                  <c:v>56</c:v>
                </c:pt>
                <c:pt idx="118">
                  <c:v>32</c:v>
                </c:pt>
                <c:pt idx="119">
                  <c:v>115</c:v>
                </c:pt>
                <c:pt idx="120">
                  <c:v>60</c:v>
                </c:pt>
                <c:pt idx="121">
                  <c:v>128</c:v>
                </c:pt>
                <c:pt idx="122">
                  <c:v>10</c:v>
                </c:pt>
                <c:pt idx="123">
                  <c:v>1</c:v>
                </c:pt>
                <c:pt idx="124">
                  <c:v>127</c:v>
                </c:pt>
                <c:pt idx="125">
                  <c:v>68</c:v>
                </c:pt>
                <c:pt idx="126">
                  <c:v>55</c:v>
                </c:pt>
                <c:pt idx="127">
                  <c:v>150</c:v>
                </c:pt>
                <c:pt idx="128">
                  <c:v>125</c:v>
                </c:pt>
                <c:pt idx="129">
                  <c:v>8</c:v>
                </c:pt>
                <c:pt idx="130">
                  <c:v>154</c:v>
                </c:pt>
                <c:pt idx="131">
                  <c:v>163</c:v>
                </c:pt>
                <c:pt idx="132">
                  <c:v>54</c:v>
                </c:pt>
                <c:pt idx="133">
                  <c:v>59</c:v>
                </c:pt>
                <c:pt idx="134">
                  <c:v>104</c:v>
                </c:pt>
                <c:pt idx="135">
                  <c:v>50</c:v>
                </c:pt>
                <c:pt idx="136">
                  <c:v>44</c:v>
                </c:pt>
                <c:pt idx="137">
                  <c:v>95</c:v>
                </c:pt>
                <c:pt idx="138">
                  <c:v>13</c:v>
                </c:pt>
                <c:pt idx="139">
                  <c:v>36</c:v>
                </c:pt>
                <c:pt idx="140">
                  <c:v>126</c:v>
                </c:pt>
                <c:pt idx="141">
                  <c:v>148</c:v>
                </c:pt>
                <c:pt idx="142">
                  <c:v>86</c:v>
                </c:pt>
                <c:pt idx="143">
                  <c:v>177</c:v>
                </c:pt>
                <c:pt idx="144">
                  <c:v>9</c:v>
                </c:pt>
                <c:pt idx="145">
                  <c:v>194</c:v>
                </c:pt>
                <c:pt idx="146">
                  <c:v>69</c:v>
                </c:pt>
                <c:pt idx="147">
                  <c:v>27</c:v>
                </c:pt>
                <c:pt idx="148">
                  <c:v>92</c:v>
                </c:pt>
                <c:pt idx="149">
                  <c:v>91</c:v>
                </c:pt>
                <c:pt idx="150">
                  <c:v>109</c:v>
                </c:pt>
                <c:pt idx="151">
                  <c:v>53</c:v>
                </c:pt>
                <c:pt idx="152">
                  <c:v>133</c:v>
                </c:pt>
                <c:pt idx="153">
                  <c:v>70</c:v>
                </c:pt>
                <c:pt idx="154">
                  <c:v>99</c:v>
                </c:pt>
                <c:pt idx="155">
                  <c:v>72</c:v>
                </c:pt>
                <c:pt idx="156">
                  <c:v>63</c:v>
                </c:pt>
                <c:pt idx="157">
                  <c:v>164</c:v>
                </c:pt>
                <c:pt idx="158">
                  <c:v>20</c:v>
                </c:pt>
                <c:pt idx="159">
                  <c:v>75</c:v>
                </c:pt>
                <c:pt idx="160">
                  <c:v>15</c:v>
                </c:pt>
                <c:pt idx="161">
                  <c:v>45</c:v>
                </c:pt>
                <c:pt idx="162">
                  <c:v>79</c:v>
                </c:pt>
                <c:pt idx="163">
                  <c:v>21</c:v>
                </c:pt>
                <c:pt idx="164">
                  <c:v>14</c:v>
                </c:pt>
                <c:pt idx="165">
                  <c:v>26</c:v>
                </c:pt>
                <c:pt idx="166">
                  <c:v>166</c:v>
                </c:pt>
                <c:pt idx="167">
                  <c:v>41</c:v>
                </c:pt>
                <c:pt idx="168">
                  <c:v>34</c:v>
                </c:pt>
                <c:pt idx="169">
                  <c:v>48</c:v>
                </c:pt>
                <c:pt idx="170">
                  <c:v>93</c:v>
                </c:pt>
                <c:pt idx="171">
                  <c:v>195</c:v>
                </c:pt>
                <c:pt idx="172">
                  <c:v>2</c:v>
                </c:pt>
                <c:pt idx="173">
                  <c:v>100</c:v>
                </c:pt>
                <c:pt idx="174">
                  <c:v>180</c:v>
                </c:pt>
                <c:pt idx="175">
                  <c:v>6</c:v>
                </c:pt>
                <c:pt idx="176">
                  <c:v>64</c:v>
                </c:pt>
                <c:pt idx="177">
                  <c:v>39</c:v>
                </c:pt>
                <c:pt idx="178">
                  <c:v>137</c:v>
                </c:pt>
                <c:pt idx="179">
                  <c:v>4</c:v>
                </c:pt>
                <c:pt idx="180">
                  <c:v>131</c:v>
                </c:pt>
                <c:pt idx="181">
                  <c:v>5</c:v>
                </c:pt>
                <c:pt idx="182">
                  <c:v>58</c:v>
                </c:pt>
                <c:pt idx="183">
                  <c:v>67</c:v>
                </c:pt>
                <c:pt idx="184">
                  <c:v>162</c:v>
                </c:pt>
                <c:pt idx="185">
                  <c:v>24</c:v>
                </c:pt>
                <c:pt idx="186">
                  <c:v>30</c:v>
                </c:pt>
                <c:pt idx="187">
                  <c:v>143</c:v>
                </c:pt>
                <c:pt idx="188">
                  <c:v>187</c:v>
                </c:pt>
                <c:pt idx="189">
                  <c:v>80</c:v>
                </c:pt>
                <c:pt idx="190">
                  <c:v>31</c:v>
                </c:pt>
                <c:pt idx="191">
                  <c:v>120</c:v>
                </c:pt>
                <c:pt idx="192">
                  <c:v>35</c:v>
                </c:pt>
                <c:pt idx="193">
                  <c:v>3</c:v>
                </c:pt>
                <c:pt idx="194">
                  <c:v>142</c:v>
                </c:pt>
                <c:pt idx="195">
                  <c:v>7</c:v>
                </c:pt>
              </c:numCache>
            </c:numRef>
          </c:xVal>
          <c:yVal>
            <c:numRef>
              <c:f>Modern!$E$2:$E$197</c:f>
              <c:numCache>
                <c:formatCode>#,##0</c:formatCode>
                <c:ptCount val="196"/>
                <c:pt idx="0">
                  <c:v>115</c:v>
                </c:pt>
                <c:pt idx="1">
                  <c:v>196</c:v>
                </c:pt>
                <c:pt idx="2">
                  <c:v>172</c:v>
                </c:pt>
                <c:pt idx="3">
                  <c:v>158</c:v>
                </c:pt>
                <c:pt idx="4">
                  <c:v>195</c:v>
                </c:pt>
                <c:pt idx="5">
                  <c:v>126</c:v>
                </c:pt>
                <c:pt idx="6">
                  <c:v>190</c:v>
                </c:pt>
                <c:pt idx="7">
                  <c:v>179</c:v>
                </c:pt>
                <c:pt idx="8">
                  <c:v>131</c:v>
                </c:pt>
                <c:pt idx="9">
                  <c:v>150</c:v>
                </c:pt>
                <c:pt idx="10">
                  <c:v>175</c:v>
                </c:pt>
                <c:pt idx="11">
                  <c:v>85</c:v>
                </c:pt>
                <c:pt idx="12">
                  <c:v>139</c:v>
                </c:pt>
                <c:pt idx="13">
                  <c:v>165</c:v>
                </c:pt>
                <c:pt idx="14">
                  <c:v>168</c:v>
                </c:pt>
                <c:pt idx="15">
                  <c:v>135</c:v>
                </c:pt>
                <c:pt idx="16">
                  <c:v>132</c:v>
                </c:pt>
                <c:pt idx="17">
                  <c:v>130</c:v>
                </c:pt>
                <c:pt idx="18">
                  <c:v>173</c:v>
                </c:pt>
                <c:pt idx="19">
                  <c:v>153</c:v>
                </c:pt>
                <c:pt idx="20">
                  <c:v>110</c:v>
                </c:pt>
                <c:pt idx="21">
                  <c:v>123</c:v>
                </c:pt>
                <c:pt idx="22">
                  <c:v>169</c:v>
                </c:pt>
                <c:pt idx="23">
                  <c:v>147</c:v>
                </c:pt>
                <c:pt idx="24">
                  <c:v>188</c:v>
                </c:pt>
                <c:pt idx="25">
                  <c:v>118</c:v>
                </c:pt>
                <c:pt idx="26">
                  <c:v>66</c:v>
                </c:pt>
                <c:pt idx="27">
                  <c:v>127</c:v>
                </c:pt>
                <c:pt idx="28">
                  <c:v>176</c:v>
                </c:pt>
                <c:pt idx="29">
                  <c:v>143</c:v>
                </c:pt>
                <c:pt idx="30">
                  <c:v>44</c:v>
                </c:pt>
                <c:pt idx="31">
                  <c:v>148</c:v>
                </c:pt>
                <c:pt idx="32">
                  <c:v>180</c:v>
                </c:pt>
                <c:pt idx="33">
                  <c:v>182</c:v>
                </c:pt>
                <c:pt idx="34">
                  <c:v>140</c:v>
                </c:pt>
                <c:pt idx="35">
                  <c:v>185</c:v>
                </c:pt>
                <c:pt idx="36">
                  <c:v>166</c:v>
                </c:pt>
                <c:pt idx="37">
                  <c:v>146</c:v>
                </c:pt>
                <c:pt idx="38">
                  <c:v>186</c:v>
                </c:pt>
                <c:pt idx="39">
                  <c:v>42</c:v>
                </c:pt>
                <c:pt idx="40">
                  <c:v>137</c:v>
                </c:pt>
                <c:pt idx="41">
                  <c:v>187</c:v>
                </c:pt>
                <c:pt idx="42">
                  <c:v>93</c:v>
                </c:pt>
                <c:pt idx="43">
                  <c:v>100</c:v>
                </c:pt>
                <c:pt idx="44">
                  <c:v>98</c:v>
                </c:pt>
                <c:pt idx="45">
                  <c:v>184</c:v>
                </c:pt>
                <c:pt idx="46">
                  <c:v>47</c:v>
                </c:pt>
                <c:pt idx="47">
                  <c:v>136</c:v>
                </c:pt>
                <c:pt idx="48">
                  <c:v>111</c:v>
                </c:pt>
                <c:pt idx="49">
                  <c:v>129</c:v>
                </c:pt>
                <c:pt idx="50">
                  <c:v>152</c:v>
                </c:pt>
                <c:pt idx="51">
                  <c:v>138</c:v>
                </c:pt>
                <c:pt idx="52">
                  <c:v>164</c:v>
                </c:pt>
                <c:pt idx="53">
                  <c:v>88</c:v>
                </c:pt>
                <c:pt idx="54">
                  <c:v>86</c:v>
                </c:pt>
                <c:pt idx="55">
                  <c:v>29</c:v>
                </c:pt>
                <c:pt idx="56">
                  <c:v>108</c:v>
                </c:pt>
                <c:pt idx="57">
                  <c:v>35</c:v>
                </c:pt>
                <c:pt idx="58">
                  <c:v>95</c:v>
                </c:pt>
                <c:pt idx="59">
                  <c:v>101</c:v>
                </c:pt>
                <c:pt idx="60">
                  <c:v>103</c:v>
                </c:pt>
                <c:pt idx="61">
                  <c:v>57</c:v>
                </c:pt>
                <c:pt idx="62">
                  <c:v>14</c:v>
                </c:pt>
                <c:pt idx="63">
                  <c:v>177</c:v>
                </c:pt>
                <c:pt idx="64">
                  <c:v>112</c:v>
                </c:pt>
                <c:pt idx="65">
                  <c:v>162</c:v>
                </c:pt>
                <c:pt idx="66">
                  <c:v>170</c:v>
                </c:pt>
                <c:pt idx="67">
                  <c:v>144</c:v>
                </c:pt>
                <c:pt idx="68">
                  <c:v>63</c:v>
                </c:pt>
                <c:pt idx="69">
                  <c:v>107</c:v>
                </c:pt>
                <c:pt idx="70">
                  <c:v>134</c:v>
                </c:pt>
                <c:pt idx="71">
                  <c:v>106</c:v>
                </c:pt>
                <c:pt idx="72">
                  <c:v>27</c:v>
                </c:pt>
                <c:pt idx="73">
                  <c:v>102</c:v>
                </c:pt>
                <c:pt idx="74">
                  <c:v>41</c:v>
                </c:pt>
                <c:pt idx="75">
                  <c:v>163</c:v>
                </c:pt>
                <c:pt idx="76">
                  <c:v>151</c:v>
                </c:pt>
                <c:pt idx="77">
                  <c:v>174</c:v>
                </c:pt>
                <c:pt idx="78">
                  <c:v>144</c:v>
                </c:pt>
                <c:pt idx="79">
                  <c:v>189</c:v>
                </c:pt>
                <c:pt idx="80">
                  <c:v>105</c:v>
                </c:pt>
                <c:pt idx="81">
                  <c:v>54</c:v>
                </c:pt>
                <c:pt idx="82">
                  <c:v>71</c:v>
                </c:pt>
                <c:pt idx="83">
                  <c:v>94</c:v>
                </c:pt>
                <c:pt idx="84">
                  <c:v>20</c:v>
                </c:pt>
                <c:pt idx="85">
                  <c:v>120</c:v>
                </c:pt>
                <c:pt idx="86">
                  <c:v>89</c:v>
                </c:pt>
                <c:pt idx="87">
                  <c:v>160</c:v>
                </c:pt>
                <c:pt idx="88">
                  <c:v>23</c:v>
                </c:pt>
                <c:pt idx="89">
                  <c:v>78</c:v>
                </c:pt>
                <c:pt idx="90">
                  <c:v>109</c:v>
                </c:pt>
                <c:pt idx="91">
                  <c:v>119</c:v>
                </c:pt>
                <c:pt idx="92">
                  <c:v>192</c:v>
                </c:pt>
                <c:pt idx="93">
                  <c:v>56</c:v>
                </c:pt>
                <c:pt idx="94">
                  <c:v>59</c:v>
                </c:pt>
                <c:pt idx="95">
                  <c:v>92</c:v>
                </c:pt>
                <c:pt idx="96">
                  <c:v>11</c:v>
                </c:pt>
                <c:pt idx="97">
                  <c:v>181</c:v>
                </c:pt>
                <c:pt idx="98">
                  <c:v>76</c:v>
                </c:pt>
                <c:pt idx="99">
                  <c:v>178</c:v>
                </c:pt>
                <c:pt idx="100">
                  <c:v>28</c:v>
                </c:pt>
                <c:pt idx="101">
                  <c:v>156</c:v>
                </c:pt>
                <c:pt idx="102">
                  <c:v>159</c:v>
                </c:pt>
                <c:pt idx="103">
                  <c:v>116</c:v>
                </c:pt>
                <c:pt idx="104">
                  <c:v>97</c:v>
                </c:pt>
                <c:pt idx="105">
                  <c:v>122</c:v>
                </c:pt>
                <c:pt idx="106">
                  <c:v>161</c:v>
                </c:pt>
                <c:pt idx="107">
                  <c:v>104</c:v>
                </c:pt>
                <c:pt idx="108">
                  <c:v>60</c:v>
                </c:pt>
                <c:pt idx="109">
                  <c:v>62</c:v>
                </c:pt>
                <c:pt idx="110">
                  <c:v>18</c:v>
                </c:pt>
                <c:pt idx="111">
                  <c:v>72</c:v>
                </c:pt>
                <c:pt idx="112">
                  <c:v>58</c:v>
                </c:pt>
                <c:pt idx="113">
                  <c:v>141</c:v>
                </c:pt>
                <c:pt idx="114">
                  <c:v>69</c:v>
                </c:pt>
                <c:pt idx="115">
                  <c:v>15</c:v>
                </c:pt>
                <c:pt idx="116">
                  <c:v>81</c:v>
                </c:pt>
                <c:pt idx="117">
                  <c:v>91</c:v>
                </c:pt>
                <c:pt idx="118">
                  <c:v>43</c:v>
                </c:pt>
                <c:pt idx="119">
                  <c:v>128</c:v>
                </c:pt>
                <c:pt idx="120">
                  <c:v>74</c:v>
                </c:pt>
                <c:pt idx="121">
                  <c:v>87</c:v>
                </c:pt>
                <c:pt idx="122">
                  <c:v>32</c:v>
                </c:pt>
                <c:pt idx="123">
                  <c:v>9</c:v>
                </c:pt>
                <c:pt idx="124">
                  <c:v>121</c:v>
                </c:pt>
                <c:pt idx="125">
                  <c:v>16</c:v>
                </c:pt>
                <c:pt idx="126">
                  <c:v>38</c:v>
                </c:pt>
                <c:pt idx="127">
                  <c:v>113</c:v>
                </c:pt>
                <c:pt idx="128">
                  <c:v>133</c:v>
                </c:pt>
                <c:pt idx="129">
                  <c:v>65</c:v>
                </c:pt>
                <c:pt idx="130">
                  <c:v>157</c:v>
                </c:pt>
                <c:pt idx="131">
                  <c:v>117</c:v>
                </c:pt>
                <c:pt idx="132">
                  <c:v>45</c:v>
                </c:pt>
                <c:pt idx="133">
                  <c:v>114</c:v>
                </c:pt>
                <c:pt idx="134">
                  <c:v>73</c:v>
                </c:pt>
                <c:pt idx="135">
                  <c:v>30</c:v>
                </c:pt>
                <c:pt idx="136">
                  <c:v>36</c:v>
                </c:pt>
                <c:pt idx="137">
                  <c:v>96</c:v>
                </c:pt>
                <c:pt idx="138">
                  <c:v>10</c:v>
                </c:pt>
                <c:pt idx="139">
                  <c:v>17</c:v>
                </c:pt>
                <c:pt idx="140">
                  <c:v>124</c:v>
                </c:pt>
                <c:pt idx="141">
                  <c:v>171</c:v>
                </c:pt>
                <c:pt idx="142">
                  <c:v>68</c:v>
                </c:pt>
                <c:pt idx="143">
                  <c:v>183</c:v>
                </c:pt>
                <c:pt idx="144">
                  <c:v>33</c:v>
                </c:pt>
                <c:pt idx="145">
                  <c:v>194</c:v>
                </c:pt>
                <c:pt idx="146">
                  <c:v>49</c:v>
                </c:pt>
                <c:pt idx="147">
                  <c:v>82</c:v>
                </c:pt>
                <c:pt idx="148">
                  <c:v>8</c:v>
                </c:pt>
                <c:pt idx="149">
                  <c:v>83</c:v>
                </c:pt>
                <c:pt idx="150">
                  <c:v>90</c:v>
                </c:pt>
                <c:pt idx="151">
                  <c:v>77</c:v>
                </c:pt>
                <c:pt idx="152">
                  <c:v>70</c:v>
                </c:pt>
                <c:pt idx="153">
                  <c:v>39</c:v>
                </c:pt>
                <c:pt idx="154">
                  <c:v>64</c:v>
                </c:pt>
                <c:pt idx="155">
                  <c:v>25</c:v>
                </c:pt>
                <c:pt idx="156">
                  <c:v>19</c:v>
                </c:pt>
                <c:pt idx="157">
                  <c:v>155</c:v>
                </c:pt>
                <c:pt idx="158">
                  <c:v>67</c:v>
                </c:pt>
                <c:pt idx="159">
                  <c:v>125</c:v>
                </c:pt>
                <c:pt idx="160">
                  <c:v>31</c:v>
                </c:pt>
                <c:pt idx="161">
                  <c:v>51</c:v>
                </c:pt>
                <c:pt idx="162">
                  <c:v>34</c:v>
                </c:pt>
                <c:pt idx="163">
                  <c:v>55</c:v>
                </c:pt>
                <c:pt idx="164">
                  <c:v>4</c:v>
                </c:pt>
                <c:pt idx="165">
                  <c:v>13</c:v>
                </c:pt>
                <c:pt idx="166">
                  <c:v>154</c:v>
                </c:pt>
                <c:pt idx="167">
                  <c:v>75</c:v>
                </c:pt>
                <c:pt idx="168">
                  <c:v>46</c:v>
                </c:pt>
                <c:pt idx="169">
                  <c:v>22</c:v>
                </c:pt>
                <c:pt idx="170">
                  <c:v>52</c:v>
                </c:pt>
                <c:pt idx="171">
                  <c:v>191</c:v>
                </c:pt>
                <c:pt idx="172">
                  <c:v>37</c:v>
                </c:pt>
                <c:pt idx="173">
                  <c:v>79</c:v>
                </c:pt>
                <c:pt idx="174">
                  <c:v>193</c:v>
                </c:pt>
                <c:pt idx="175">
                  <c:v>53</c:v>
                </c:pt>
                <c:pt idx="176">
                  <c:v>12</c:v>
                </c:pt>
                <c:pt idx="177">
                  <c:v>26</c:v>
                </c:pt>
                <c:pt idx="178">
                  <c:v>84</c:v>
                </c:pt>
                <c:pt idx="179">
                  <c:v>1</c:v>
                </c:pt>
                <c:pt idx="180">
                  <c:v>99</c:v>
                </c:pt>
                <c:pt idx="181">
                  <c:v>7</c:v>
                </c:pt>
                <c:pt idx="182">
                  <c:v>40</c:v>
                </c:pt>
                <c:pt idx="183">
                  <c:v>50</c:v>
                </c:pt>
                <c:pt idx="184">
                  <c:v>142</c:v>
                </c:pt>
                <c:pt idx="185">
                  <c:v>24</c:v>
                </c:pt>
                <c:pt idx="186">
                  <c:v>21</c:v>
                </c:pt>
                <c:pt idx="187">
                  <c:v>80</c:v>
                </c:pt>
                <c:pt idx="188">
                  <c:v>167</c:v>
                </c:pt>
                <c:pt idx="189">
                  <c:v>48</c:v>
                </c:pt>
                <c:pt idx="190">
                  <c:v>6</c:v>
                </c:pt>
                <c:pt idx="191">
                  <c:v>61</c:v>
                </c:pt>
                <c:pt idx="192">
                  <c:v>5</c:v>
                </c:pt>
                <c:pt idx="193">
                  <c:v>3</c:v>
                </c:pt>
                <c:pt idx="194">
                  <c:v>149</c:v>
                </c:pt>
                <c:pt idx="195">
                  <c:v>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Modern!$A$2:$A$197</c15:f>
                <c15:dlblRangeCache>
                  <c:ptCount val="196"/>
                  <c:pt idx="0">
                    <c:v>Singapore</c:v>
                  </c:pt>
                  <c:pt idx="1">
                    <c:v>Vatican City</c:v>
                  </c:pt>
                  <c:pt idx="2">
                    <c:v>Bahamas</c:v>
                  </c:pt>
                  <c:pt idx="3">
                    <c:v>Djibouti</c:v>
                  </c:pt>
                  <c:pt idx="4">
                    <c:v>Tuvalu</c:v>
                  </c:pt>
                  <c:pt idx="5">
                    <c:v>Kuwait</c:v>
                  </c:pt>
                  <c:pt idx="6">
                    <c:v>Marshall Islands</c:v>
                  </c:pt>
                  <c:pt idx="7">
                    <c:v>Kiribati</c:v>
                  </c:pt>
                  <c:pt idx="8">
                    <c:v>Mongolia</c:v>
                  </c:pt>
                  <c:pt idx="9">
                    <c:v>Bahrain</c:v>
                  </c:pt>
                  <c:pt idx="10">
                    <c:v>Barbados</c:v>
                  </c:pt>
                  <c:pt idx="11">
                    <c:v>Jordan</c:v>
                  </c:pt>
                  <c:pt idx="12">
                    <c:v>Armenia</c:v>
                  </c:pt>
                  <c:pt idx="13">
                    <c:v>Suriname</c:v>
                  </c:pt>
                  <c:pt idx="14">
                    <c:v>Maldives</c:v>
                  </c:pt>
                  <c:pt idx="15">
                    <c:v>Qatar</c:v>
                  </c:pt>
                  <c:pt idx="16">
                    <c:v>Uruguay</c:v>
                  </c:pt>
                  <c:pt idx="17">
                    <c:v>Georgia</c:v>
                  </c:pt>
                  <c:pt idx="18">
                    <c:v>Iceland</c:v>
                  </c:pt>
                  <c:pt idx="19">
                    <c:v>Estonia</c:v>
                  </c:pt>
                  <c:pt idx="20">
                    <c:v>Republic of the Congo</c:v>
                  </c:pt>
                  <c:pt idx="21">
                    <c:v>Oman</c:v>
                  </c:pt>
                  <c:pt idx="22">
                    <c:v>Cape Verde</c:v>
                  </c:pt>
                  <c:pt idx="23">
                    <c:v>Latvia</c:v>
                  </c:pt>
                  <c:pt idx="24">
                    <c:v>Saint Kitts and Nevis</c:v>
                  </c:pt>
                  <c:pt idx="25">
                    <c:v>Liberia</c:v>
                  </c:pt>
                  <c:pt idx="26">
                    <c:v>Chile</c:v>
                  </c:pt>
                  <c:pt idx="27">
                    <c:v>Mauritania</c:v>
                  </c:pt>
                  <c:pt idx="28">
                    <c:v>Sao Tome and Principe</c:v>
                  </c:pt>
                  <c:pt idx="29">
                    <c:v>Moldova</c:v>
                  </c:pt>
                  <c:pt idx="30">
                    <c:v>Peru</c:v>
                  </c:pt>
                  <c:pt idx="31">
                    <c:v>North Macedonia</c:v>
                  </c:pt>
                  <c:pt idx="32">
                    <c:v>Grenada</c:v>
                  </c:pt>
                  <c:pt idx="33">
                    <c:v>Seychelles</c:v>
                  </c:pt>
                  <c:pt idx="34">
                    <c:v>Gabon</c:v>
                  </c:pt>
                  <c:pt idx="35">
                    <c:v>Tonga</c:v>
                  </c:pt>
                  <c:pt idx="36">
                    <c:v>Montenegro</c:v>
                  </c:pt>
                  <c:pt idx="37">
                    <c:v>Guinea-Bissau</c:v>
                  </c:pt>
                  <c:pt idx="38">
                    <c:v>Andorra</c:v>
                  </c:pt>
                  <c:pt idx="39">
                    <c:v>Angola</c:v>
                  </c:pt>
                  <c:pt idx="40">
                    <c:v>Jamaica</c:v>
                  </c:pt>
                  <c:pt idx="41">
                    <c:v>Dominica</c:v>
                  </c:pt>
                  <c:pt idx="42">
                    <c:v>Azerbaijan</c:v>
                  </c:pt>
                  <c:pt idx="43">
                    <c:v>Belarus</c:v>
                  </c:pt>
                  <c:pt idx="44">
                    <c:v>Austria</c:v>
                  </c:pt>
                  <c:pt idx="45">
                    <c:v>Antigua and Barbuda</c:v>
                  </c:pt>
                  <c:pt idx="46">
                    <c:v>Saudi Arabia</c:v>
                  </c:pt>
                  <c:pt idx="47">
                    <c:v>Lithuania</c:v>
                  </c:pt>
                  <c:pt idx="48">
                    <c:v>Bulgaria</c:v>
                  </c:pt>
                  <c:pt idx="49">
                    <c:v>Croatia</c:v>
                  </c:pt>
                  <c:pt idx="50">
                    <c:v>East Timor</c:v>
                  </c:pt>
                  <c:pt idx="51">
                    <c:v>Albania</c:v>
                  </c:pt>
                  <c:pt idx="52">
                    <c:v>Luxembourg</c:v>
                  </c:pt>
                  <c:pt idx="53">
                    <c:v>Cuba</c:v>
                  </c:pt>
                  <c:pt idx="54">
                    <c:v>United Arab Emirates</c:v>
                  </c:pt>
                  <c:pt idx="55">
                    <c:v>South Korea</c:v>
                  </c:pt>
                  <c:pt idx="56">
                    <c:v>Serbia</c:v>
                  </c:pt>
                  <c:pt idx="57">
                    <c:v>Iraq</c:v>
                  </c:pt>
                  <c:pt idx="58">
                    <c:v>Hungary</c:v>
                  </c:pt>
                  <c:pt idx="59">
                    <c:v>Togo</c:v>
                  </c:pt>
                  <c:pt idx="60">
                    <c:v>Sierra Leone</c:v>
                  </c:pt>
                  <c:pt idx="61">
                    <c:v>Mali</c:v>
                  </c:pt>
                  <c:pt idx="62">
                    <c:v>Democratic Republic of the Congo</c:v>
                  </c:pt>
                  <c:pt idx="63">
                    <c:v>Samoa</c:v>
                  </c:pt>
                  <c:pt idx="64">
                    <c:v>Eritrea</c:v>
                  </c:pt>
                  <c:pt idx="65">
                    <c:v>Guyana</c:v>
                  </c:pt>
                  <c:pt idx="66">
                    <c:v>Brunei</c:v>
                  </c:pt>
                  <c:pt idx="67">
                    <c:v>Lesotho</c:v>
                  </c:pt>
                  <c:pt idx="68">
                    <c:v>Somalia</c:v>
                  </c:pt>
                  <c:pt idx="69">
                    <c:v>Nicaragua</c:v>
                  </c:pt>
                  <c:pt idx="70">
                    <c:v>Namibia</c:v>
                  </c:pt>
                  <c:pt idx="71">
                    <c:v>Kyrgyzstan</c:v>
                  </c:pt>
                  <c:pt idx="72">
                    <c:v>Colombia</c:v>
                  </c:pt>
                  <c:pt idx="73">
                    <c:v>Libya</c:v>
                  </c:pt>
                  <c:pt idx="74">
                    <c:v>Afghanistan</c:v>
                  </c:pt>
                  <c:pt idx="75">
                    <c:v>Bhutan</c:v>
                  </c:pt>
                  <c:pt idx="76">
                    <c:v>Kosovo</c:v>
                  </c:pt>
                  <c:pt idx="77">
                    <c:v>Vanuatu</c:v>
                  </c:pt>
                  <c:pt idx="78">
                    <c:v>Slovenia</c:v>
                  </c:pt>
                  <c:pt idx="79">
                    <c:v>Liechtenstein</c:v>
                  </c:pt>
                  <c:pt idx="80">
                    <c:v>Turkmenistan</c:v>
                  </c:pt>
                  <c:pt idx="81">
                    <c:v>Cameroon</c:v>
                  </c:pt>
                  <c:pt idx="82">
                    <c:v>Cambodia</c:v>
                  </c:pt>
                  <c:pt idx="83">
                    <c:v>Honduras</c:v>
                  </c:pt>
                  <c:pt idx="84">
                    <c:v>United Kingdom</c:v>
                  </c:pt>
                  <c:pt idx="85">
                    <c:v>Norway</c:v>
                  </c:pt>
                  <c:pt idx="86">
                    <c:v>Czech Republic</c:v>
                  </c:pt>
                  <c:pt idx="87">
                    <c:v>Comoros</c:v>
                  </c:pt>
                  <c:pt idx="88">
                    <c:v>Thailand</c:v>
                  </c:pt>
                  <c:pt idx="89">
                    <c:v>Rwanda</c:v>
                  </c:pt>
                  <c:pt idx="90">
                    <c:v>Central African Republic</c:v>
                  </c:pt>
                  <c:pt idx="91">
                    <c:v>Finland</c:v>
                  </c:pt>
                  <c:pt idx="92">
                    <c:v>San Marino</c:v>
                  </c:pt>
                  <c:pt idx="93">
                    <c:v>North Korea</c:v>
                  </c:pt>
                  <c:pt idx="94">
                    <c:v>Syria</c:v>
                  </c:pt>
                  <c:pt idx="95">
                    <c:v>Tajikistan</c:v>
                  </c:pt>
                  <c:pt idx="96">
                    <c:v>Japan</c:v>
                  </c:pt>
                  <c:pt idx="97">
                    <c:v>Saint Vincent and the Grenadines</c:v>
                  </c:pt>
                  <c:pt idx="98">
                    <c:v>Guinea</c:v>
                  </c:pt>
                  <c:pt idx="99">
                    <c:v>Saint Lucia</c:v>
                  </c:pt>
                  <c:pt idx="100">
                    <c:v>Kenya</c:v>
                  </c:pt>
                  <c:pt idx="101">
                    <c:v>Mauritius</c:v>
                  </c:pt>
                  <c:pt idx="102">
                    <c:v>Fiji</c:v>
                  </c:pt>
                  <c:pt idx="103">
                    <c:v>Denmark</c:v>
                  </c:pt>
                  <c:pt idx="104">
                    <c:v>Israel</c:v>
                  </c:pt>
                  <c:pt idx="105">
                    <c:v>Ireland</c:v>
                  </c:pt>
                  <c:pt idx="106">
                    <c:v>Solomon Islands</c:v>
                  </c:pt>
                  <c:pt idx="107">
                    <c:v>Laos</c:v>
                  </c:pt>
                  <c:pt idx="108">
                    <c:v>Taiwan</c:v>
                  </c:pt>
                  <c:pt idx="109">
                    <c:v>Zambia</c:v>
                  </c:pt>
                  <c:pt idx="110">
                    <c:v>Iran</c:v>
                  </c:pt>
                  <c:pt idx="111">
                    <c:v>Ecuador</c:v>
                  </c:pt>
                  <c:pt idx="112">
                    <c:v>Burkina Faso</c:v>
                  </c:pt>
                  <c:pt idx="113">
                    <c:v>Botswana</c:v>
                  </c:pt>
                  <c:pt idx="114">
                    <c:v>Romania</c:v>
                  </c:pt>
                  <c:pt idx="115">
                    <c:v>Egypt</c:v>
                  </c:pt>
                  <c:pt idx="116">
                    <c:v>Haiti</c:v>
                  </c:pt>
                  <c:pt idx="117">
                    <c:v>Sweden</c:v>
                  </c:pt>
                  <c:pt idx="118">
                    <c:v>Venezuela</c:v>
                  </c:pt>
                  <c:pt idx="119">
                    <c:v>Panama</c:v>
                  </c:pt>
                  <c:pt idx="120">
                    <c:v>Zimbabwe</c:v>
                  </c:pt>
                  <c:pt idx="121">
                    <c:v>Dominican Republic</c:v>
                  </c:pt>
                  <c:pt idx="122">
                    <c:v>Algeria</c:v>
                  </c:pt>
                  <c:pt idx="123">
                    <c:v>Russia</c:v>
                  </c:pt>
                  <c:pt idx="124">
                    <c:v>Slovakia</c:v>
                  </c:pt>
                  <c:pt idx="125">
                    <c:v>Vietnam</c:v>
                  </c:pt>
                  <c:pt idx="126">
                    <c:v>Uzbekistan</c:v>
                  </c:pt>
                  <c:pt idx="127">
                    <c:v>El Salvador</c:v>
                  </c:pt>
                  <c:pt idx="128">
                    <c:v>Bosnia and Herzegovina</c:v>
                  </c:pt>
                  <c:pt idx="129">
                    <c:v>Kazakhstan</c:v>
                  </c:pt>
                  <c:pt idx="130">
                    <c:v>Eswatini</c:v>
                  </c:pt>
                  <c:pt idx="131">
                    <c:v>Lebanon</c:v>
                  </c:pt>
                  <c:pt idx="132">
                    <c:v>Yemen</c:v>
                  </c:pt>
                  <c:pt idx="133">
                    <c:v>Paraguay</c:v>
                  </c:pt>
                  <c:pt idx="134">
                    <c:v>Guatemala</c:v>
                  </c:pt>
                  <c:pt idx="135">
                    <c:v>Spain</c:v>
                  </c:pt>
                  <c:pt idx="136">
                    <c:v>Ukraine</c:v>
                  </c:pt>
                  <c:pt idx="137">
                    <c:v>Greece</c:v>
                  </c:pt>
                  <c:pt idx="138">
                    <c:v>Mexico</c:v>
                  </c:pt>
                  <c:pt idx="139">
                    <c:v>Turkey</c:v>
                  </c:pt>
                  <c:pt idx="140">
                    <c:v>Costa Rica</c:v>
                  </c:pt>
                  <c:pt idx="141">
                    <c:v>Belize</c:v>
                  </c:pt>
                  <c:pt idx="142">
                    <c:v>Senegal</c:v>
                  </c:pt>
                  <c:pt idx="143">
                    <c:v>Federated States of Micronesia</c:v>
                  </c:pt>
                  <c:pt idx="144">
                    <c:v>Argentina</c:v>
                  </c:pt>
                  <c:pt idx="145">
                    <c:v>Nauru</c:v>
                  </c:pt>
                  <c:pt idx="146">
                    <c:v>Malaysia</c:v>
                  </c:pt>
                  <c:pt idx="147">
                    <c:v>Bolivia</c:v>
                  </c:pt>
                  <c:pt idx="148">
                    <c:v>Bangladesh</c:v>
                  </c:pt>
                  <c:pt idx="149">
                    <c:v>Tunisia</c:v>
                  </c:pt>
                  <c:pt idx="150">
                    <c:v>Portugal</c:v>
                  </c:pt>
                  <c:pt idx="151">
                    <c:v>Papua New Guinea</c:v>
                  </c:pt>
                  <c:pt idx="152">
                    <c:v>Netherlands</c:v>
                  </c:pt>
                  <c:pt idx="153">
                    <c:v>Poland</c:v>
                  </c:pt>
                  <c:pt idx="154">
                    <c:v>Malawi</c:v>
                  </c:pt>
                  <c:pt idx="155">
                    <c:v>Italy</c:v>
                  </c:pt>
                  <c:pt idx="156">
                    <c:v>Germany</c:v>
                  </c:pt>
                  <c:pt idx="157">
                    <c:v>Cyprus</c:v>
                  </c:pt>
                  <c:pt idx="158">
                    <c:v>Chad</c:v>
                  </c:pt>
                  <c:pt idx="159">
                    <c:v>New Zealand</c:v>
                  </c:pt>
                  <c:pt idx="160">
                    <c:v>Sudan</c:v>
                  </c:pt>
                  <c:pt idx="161">
                    <c:v>Madagascar</c:v>
                  </c:pt>
                  <c:pt idx="162">
                    <c:v>Uganda</c:v>
                  </c:pt>
                  <c:pt idx="163">
                    <c:v>Niger</c:v>
                  </c:pt>
                  <c:pt idx="164">
                    <c:v>Indonesia</c:v>
                  </c:pt>
                  <c:pt idx="165">
                    <c:v>Ethiopia</c:v>
                  </c:pt>
                  <c:pt idx="166">
                    <c:v>Trinidad and Tobago</c:v>
                  </c:pt>
                  <c:pt idx="167">
                    <c:v>South Sudan</c:v>
                  </c:pt>
                  <c:pt idx="168">
                    <c:v>Mozambique</c:v>
                  </c:pt>
                  <c:pt idx="169">
                    <c:v>France</c:v>
                  </c:pt>
                  <c:pt idx="170">
                    <c:v>Nepal</c:v>
                  </c:pt>
                  <c:pt idx="171">
                    <c:v>Monaco</c:v>
                  </c:pt>
                  <c:pt idx="172">
                    <c:v>Canada</c:v>
                  </c:pt>
                  <c:pt idx="173">
                    <c:v>Benin</c:v>
                  </c:pt>
                  <c:pt idx="174">
                    <c:v>Palau</c:v>
                  </c:pt>
                  <c:pt idx="175">
                    <c:v>Australia</c:v>
                  </c:pt>
                  <c:pt idx="176">
                    <c:v>Philippines</c:v>
                  </c:pt>
                  <c:pt idx="177">
                    <c:v>Myanmar</c:v>
                  </c:pt>
                  <c:pt idx="178">
                    <c:v>Belgium</c:v>
                  </c:pt>
                  <c:pt idx="179">
                    <c:v>China</c:v>
                  </c:pt>
                  <c:pt idx="180">
                    <c:v>Switzerland</c:v>
                  </c:pt>
                  <c:pt idx="181">
                    <c:v>Brazil</c:v>
                  </c:pt>
                  <c:pt idx="182">
                    <c:v>Morocco</c:v>
                  </c:pt>
                  <c:pt idx="183">
                    <c:v>Ivory Coast</c:v>
                  </c:pt>
                  <c:pt idx="184">
                    <c:v>Gambia</c:v>
                  </c:pt>
                  <c:pt idx="185">
                    <c:v>South Africa</c:v>
                  </c:pt>
                  <c:pt idx="186">
                    <c:v>Tanzania</c:v>
                  </c:pt>
                  <c:pt idx="187">
                    <c:v>Burundi</c:v>
                  </c:pt>
                  <c:pt idx="188">
                    <c:v>Malta</c:v>
                  </c:pt>
                  <c:pt idx="189">
                    <c:v>Ghana</c:v>
                  </c:pt>
                  <c:pt idx="190">
                    <c:v>Nigeria</c:v>
                  </c:pt>
                  <c:pt idx="191">
                    <c:v>Sri Lanka</c:v>
                  </c:pt>
                  <c:pt idx="192">
                    <c:v>Pakistan</c:v>
                  </c:pt>
                  <c:pt idx="193">
                    <c:v>United States of America</c:v>
                  </c:pt>
                  <c:pt idx="194">
                    <c:v>Equatorial Guinea</c:v>
                  </c:pt>
                  <c:pt idx="195">
                    <c:v>India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7E19-E547-9665-57478EAAF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8442879"/>
        <c:axId val="568446015"/>
      </c:scatterChart>
      <c:valAx>
        <c:axId val="568442879"/>
        <c:scaling>
          <c:orientation val="minMax"/>
          <c:max val="2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446015"/>
        <c:crosses val="autoZero"/>
        <c:crossBetween val="midCat"/>
      </c:valAx>
      <c:valAx>
        <c:axId val="568446015"/>
        <c:scaling>
          <c:orientation val="minMax"/>
          <c:max val="2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442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279232</xdr:colOff>
      <xdr:row>0</xdr:row>
      <xdr:rowOff>466116</xdr:rowOff>
    </xdr:from>
    <xdr:to>
      <xdr:col>29</xdr:col>
      <xdr:colOff>529867</xdr:colOff>
      <xdr:row>30</xdr:row>
      <xdr:rowOff>185033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7F3C5C-DE85-B863-777D-AD6AF17771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4D8A2D-EE49-F64E-A408-27F1A087C156}" name="Table1" displayName="Table1" ref="A1:S197" totalsRowShown="0" headerRowDxfId="65">
  <autoFilter ref="A1:S197" xr:uid="{A44D8A2D-EE49-F64E-A408-27F1A087C156}"/>
  <sortState xmlns:xlrd2="http://schemas.microsoft.com/office/spreadsheetml/2017/richdata2" ref="A2:S197">
    <sortCondition ref="O1:O197"/>
  </sortState>
  <tableColumns count="19">
    <tableColumn id="1" xr3:uid="{D4632E91-4C60-CC4A-B33F-529B547169A4}" name="Country" dataDxfId="64" dataCellStyle="Hyperlink"/>
    <tableColumn id="2" xr3:uid="{DF182260-BF43-D448-B63A-A5EDF0DF59B0}" name="Area" dataDxfId="63" dataCellStyle="Comma"/>
    <tableColumn id="3" xr3:uid="{B8497038-74F8-A344-B38E-21A4B593D7BE}" name="AreaRank" dataDxfId="62">
      <calculatedColumnFormula>RANK(B2,B$2:B$197)</calculatedColumnFormula>
    </tableColumn>
    <tableColumn id="4" xr3:uid="{450571E8-79B5-B440-BADE-084860DC73C7}" name="Pop" dataDxfId="61"/>
    <tableColumn id="5" xr3:uid="{175F41AC-34EF-6240-B81A-15AFDCA3B1B1}" name="PopRank" dataDxfId="60">
      <calculatedColumnFormula>RANK(D2,D$2:D$197)</calculatedColumnFormula>
    </tableColumn>
    <tableColumn id="6" xr3:uid="{4F72F7F1-A707-6B46-872C-690E9AF7EBA8}" name="Independence" dataDxfId="59"/>
    <tableColumn id="7" xr3:uid="{659B633A-582C-094F-AAB6-D3C5AF2DBC06}" name="Year" dataDxfId="58"/>
    <tableColumn id="8" xr3:uid="{806ABB28-1066-5F42-9358-83C9C8074A03}" name="YearRank" dataDxfId="57">
      <calculatedColumnFormula>RANK(G2,G$2:G$197)</calculatedColumnFormula>
    </tableColumn>
    <tableColumn id="9" xr3:uid="{50C25722-9A9D-F04A-AA01-B0F0BF02015D}" name="Capital"/>
    <tableColumn id="10" xr3:uid="{835D9ED0-D8C5-D947-9179-5EC27FCA3817}" name="CapPop" dataDxfId="56" dataCellStyle="Comma">
      <calculatedColumnFormula>(0.2*(1+RAND()*0.01)*D2)</calculatedColumnFormula>
    </tableColumn>
    <tableColumn id="11" xr3:uid="{71F8FF0D-51FB-C540-81F5-B826427B4AFA}" name="CapPopRank" dataDxfId="55">
      <calculatedColumnFormula>RANK(J2,J$2:J$197)</calculatedColumnFormula>
    </tableColumn>
    <tableColumn id="12" xr3:uid="{8A28B27B-730A-424B-B82B-E39E75E9A81F}" name="Density" dataDxfId="54" dataCellStyle="Comma">
      <calculatedColumnFormula>D2/B2</calculatedColumnFormula>
    </tableColumn>
    <tableColumn id="13" xr3:uid="{EC4553FB-4576-644C-B216-15A571682B63}" name="DensRank" dataDxfId="53">
      <calculatedColumnFormula>RANK(L2,L$2:L$197)</calculatedColumnFormula>
    </tableColumn>
    <tableColumn id="14" xr3:uid="{46D6A2DB-CB61-8746-A39E-2BB216D46666}" name="CityShare" dataDxfId="52" dataCellStyle="Percent">
      <calculatedColumnFormula>J2/D2</calculatedColumnFormula>
    </tableColumn>
    <tableColumn id="15" xr3:uid="{2B8E4753-124B-CE4F-8BEA-0345FDA45045}" name="ShareRank" dataDxfId="51">
      <calculatedColumnFormula>RANK(N2,N$2:N$197)</calculatedColumnFormula>
    </tableColumn>
    <tableColumn id="17" xr3:uid="{9C7A8F78-CCF0-1D42-B4E6-3C54F13CEC29}" name="Continent" dataDxfId="50"/>
    <tableColumn id="18" xr3:uid="{89BD2F79-ADEA-6744-B228-F9AF042E45B6}" name="Begin" dataDxfId="49"/>
    <tableColumn id="19" xr3:uid="{355457B6-E8FC-5E4D-BBFB-DCA3E0ED77E2}" name="End" dataDxfId="48"/>
    <tableColumn id="16" xr3:uid="{C029A56E-E79D-6B42-B013-7F8CD573E8B8}" name="NameChanges"/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1E6D0B-DC07-034D-821D-127E1BB305B6}" name="Table2" displayName="Table2" ref="A1:O511" totalsRowCount="1" headerRowDxfId="47" dataDxfId="46" totalsRowDxfId="45">
  <autoFilter ref="A1:O510" xr:uid="{6C1E6D0B-DC07-034D-821D-127E1BB305B6}"/>
  <sortState xmlns:xlrd2="http://schemas.microsoft.com/office/spreadsheetml/2017/richdata2" ref="A2:O510">
    <sortCondition ref="O1:O510"/>
  </sortState>
  <tableColumns count="15">
    <tableColumn id="1" xr3:uid="{B0BF1C95-FF7C-074B-93F7-4A7375CE5ACD}" name="Polity" totalsRowLabel="Total" dataDxfId="44" totalsRowDxfId="29"/>
    <tableColumn id="2" xr3:uid="{13284031-54F6-3544-8113-4E701F63E22E}" name="Name" dataDxfId="43" totalsRowDxfId="28"/>
    <tableColumn id="4" xr3:uid="{841B4B79-85E6-B343-BD4A-44935DEBD32E}" name="Begin" dataDxfId="42" totalsRowDxfId="27"/>
    <tableColumn id="5" xr3:uid="{4065A701-B250-394D-9A2F-60053D3A08EB}" name="End" dataDxfId="41" totalsRowDxfId="26"/>
    <tableColumn id="16" xr3:uid="{9D74BAB8-4E5B-6A4A-AC21-BE12325FDCB0}" name="Color" dataDxfId="30" totalsRowDxfId="25"/>
    <tableColumn id="6" xr3:uid="{BB52ACED-8147-D348-8953-92EC4EDE3721}" name="Type" dataDxfId="40" totalsRowDxfId="24"/>
    <tableColumn id="7" xr3:uid="{317323CD-9CA9-BD46-B90F-E2A62CC9424C}" name="Parent" dataDxfId="39" totalsRowDxfId="23"/>
    <tableColumn id="8" xr3:uid="{F2D320F1-5B4F-574D-A090-B6FB36C65FC3}" name="Continent" dataDxfId="38" totalsRowDxfId="22"/>
    <tableColumn id="9" xr3:uid="{4D7F705E-9456-3F43-812B-E2656BCB93DB}" name="Predecessor" dataDxfId="37" totalsRowDxfId="21"/>
    <tableColumn id="3" xr3:uid="{2E6A980E-2EE4-6442-9419-B686B209CB8B}" name="Country" dataDxfId="31" totalsRowDxfId="20">
      <calculatedColumnFormula>IF( F2 = "Sovereign", "x", "" )</calculatedColumnFormula>
    </tableColumn>
    <tableColumn id="10" xr3:uid="{B71E0838-95DD-734A-803F-37CD7E920664}" name="Filter" dataDxfId="36" totalsRowDxfId="19"/>
    <tableColumn id="11" xr3:uid="{F9596300-C02A-E74C-A384-FECF14A8B743}" name="Checked" dataDxfId="35" totalsRowDxfId="18"/>
    <tableColumn id="13" xr3:uid="{223B581F-F28F-9640-93C8-583AB46289D5}" name="LegacyName" dataDxfId="34" totalsRowDxfId="17"/>
    <tableColumn id="14" xr3:uid="{697B06D4-CC56-8E47-91D7-B77F7ACE234B}" name="LegacyCaps" dataDxfId="33" totalsRowDxfId="16"/>
    <tableColumn id="12" xr3:uid="{8AF01301-A880-DB45-B7D5-E5A905D09A1E}" name="Sort" dataDxfId="32" totalsRowDxfId="15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ritannica.com/place/Myanmar" TargetMode="External"/><Relationship Id="rId21" Type="http://schemas.openxmlformats.org/officeDocument/2006/relationships/hyperlink" Target="https://www.britannica.com/place/Bosnia-and-Herzegovina" TargetMode="External"/><Relationship Id="rId42" Type="http://schemas.openxmlformats.org/officeDocument/2006/relationships/hyperlink" Target="https://www.britannica.com/place/Cyprus" TargetMode="External"/><Relationship Id="rId63" Type="http://schemas.openxmlformats.org/officeDocument/2006/relationships/hyperlink" Target="https://www.britannica.com/place/Germany" TargetMode="External"/><Relationship Id="rId84" Type="http://schemas.openxmlformats.org/officeDocument/2006/relationships/hyperlink" Target="https://www.britannica.com/place/Jordan" TargetMode="External"/><Relationship Id="rId138" Type="http://schemas.openxmlformats.org/officeDocument/2006/relationships/hyperlink" Target="https://www.britannica.com/place/Portugal" TargetMode="External"/><Relationship Id="rId159" Type="http://schemas.openxmlformats.org/officeDocument/2006/relationships/hyperlink" Target="https://www.britannica.com/place/Somalia" TargetMode="External"/><Relationship Id="rId170" Type="http://schemas.openxmlformats.org/officeDocument/2006/relationships/hyperlink" Target="https://www.britannica.com/place/Taiwan" TargetMode="External"/><Relationship Id="rId191" Type="http://schemas.openxmlformats.org/officeDocument/2006/relationships/hyperlink" Target="https://www.britannica.com/place/Vatican-City" TargetMode="External"/><Relationship Id="rId107" Type="http://schemas.openxmlformats.org/officeDocument/2006/relationships/hyperlink" Target="https://www.britannica.com/place/Mauritania" TargetMode="External"/><Relationship Id="rId11" Type="http://schemas.openxmlformats.org/officeDocument/2006/relationships/hyperlink" Target="https://www.britannica.com/place/Azerbaijan" TargetMode="External"/><Relationship Id="rId32" Type="http://schemas.openxmlformats.org/officeDocument/2006/relationships/hyperlink" Target="https://www.britannica.com/place/Central-African-Republic" TargetMode="External"/><Relationship Id="rId53" Type="http://schemas.openxmlformats.org/officeDocument/2006/relationships/hyperlink" Target="https://www.britannica.com/place/Equatorial-Guinea" TargetMode="External"/><Relationship Id="rId74" Type="http://schemas.openxmlformats.org/officeDocument/2006/relationships/hyperlink" Target="https://www.britannica.com/place/Iceland" TargetMode="External"/><Relationship Id="rId128" Type="http://schemas.openxmlformats.org/officeDocument/2006/relationships/hyperlink" Target="https://www.britannica.com/place/Norway" TargetMode="External"/><Relationship Id="rId149" Type="http://schemas.openxmlformats.org/officeDocument/2006/relationships/hyperlink" Target="https://www.britannica.com/place/Sao-Tome-and-Principe" TargetMode="External"/><Relationship Id="rId5" Type="http://schemas.openxmlformats.org/officeDocument/2006/relationships/hyperlink" Target="https://www.britannica.com/place/Angola" TargetMode="External"/><Relationship Id="rId95" Type="http://schemas.openxmlformats.org/officeDocument/2006/relationships/hyperlink" Target="https://www.britannica.com/place/Liberia" TargetMode="External"/><Relationship Id="rId160" Type="http://schemas.openxmlformats.org/officeDocument/2006/relationships/hyperlink" Target="https://www.britannica.com/place/South-Africa" TargetMode="External"/><Relationship Id="rId181" Type="http://schemas.openxmlformats.org/officeDocument/2006/relationships/hyperlink" Target="https://www.britannica.com/place/Turkmenistan" TargetMode="External"/><Relationship Id="rId22" Type="http://schemas.openxmlformats.org/officeDocument/2006/relationships/hyperlink" Target="https://www.britannica.com/place/Botswana" TargetMode="External"/><Relationship Id="rId43" Type="http://schemas.openxmlformats.org/officeDocument/2006/relationships/hyperlink" Target="https://www.britannica.com/place/Czech-Republic" TargetMode="External"/><Relationship Id="rId64" Type="http://schemas.openxmlformats.org/officeDocument/2006/relationships/hyperlink" Target="https://www.britannica.com/place/Ghana" TargetMode="External"/><Relationship Id="rId118" Type="http://schemas.openxmlformats.org/officeDocument/2006/relationships/hyperlink" Target="https://www.britannica.com/place/Namibia" TargetMode="External"/><Relationship Id="rId139" Type="http://schemas.openxmlformats.org/officeDocument/2006/relationships/hyperlink" Target="https://www.britannica.com/place/Qatar" TargetMode="External"/><Relationship Id="rId85" Type="http://schemas.openxmlformats.org/officeDocument/2006/relationships/hyperlink" Target="https://www.britannica.com/place/Kazakhstan" TargetMode="External"/><Relationship Id="rId150" Type="http://schemas.openxmlformats.org/officeDocument/2006/relationships/hyperlink" Target="https://www.britannica.com/place/Saudi-Arabia" TargetMode="External"/><Relationship Id="rId171" Type="http://schemas.openxmlformats.org/officeDocument/2006/relationships/hyperlink" Target="https://www.britannica.com/place/Tajikistan" TargetMode="External"/><Relationship Id="rId192" Type="http://schemas.openxmlformats.org/officeDocument/2006/relationships/hyperlink" Target="https://www.britannica.com/place/Venezuela" TargetMode="External"/><Relationship Id="rId12" Type="http://schemas.openxmlformats.org/officeDocument/2006/relationships/hyperlink" Target="https://www.britannica.com/place/Bahrain" TargetMode="External"/><Relationship Id="rId33" Type="http://schemas.openxmlformats.org/officeDocument/2006/relationships/hyperlink" Target="https://www.britannica.com/place/Chad" TargetMode="External"/><Relationship Id="rId108" Type="http://schemas.openxmlformats.org/officeDocument/2006/relationships/hyperlink" Target="https://www.britannica.com/place/Mauritius" TargetMode="External"/><Relationship Id="rId129" Type="http://schemas.openxmlformats.org/officeDocument/2006/relationships/hyperlink" Target="https://www.britannica.com/place/Oman" TargetMode="External"/><Relationship Id="rId54" Type="http://schemas.openxmlformats.org/officeDocument/2006/relationships/hyperlink" Target="https://www.britannica.com/place/Eritrea" TargetMode="External"/><Relationship Id="rId75" Type="http://schemas.openxmlformats.org/officeDocument/2006/relationships/hyperlink" Target="https://www.britannica.com/place/India" TargetMode="External"/><Relationship Id="rId96" Type="http://schemas.openxmlformats.org/officeDocument/2006/relationships/hyperlink" Target="https://www.britannica.com/place/Libya" TargetMode="External"/><Relationship Id="rId140" Type="http://schemas.openxmlformats.org/officeDocument/2006/relationships/hyperlink" Target="https://www.britannica.com/place/Republic-of-the-Congo" TargetMode="External"/><Relationship Id="rId161" Type="http://schemas.openxmlformats.org/officeDocument/2006/relationships/hyperlink" Target="https://www.britannica.com/place/South-Korea" TargetMode="External"/><Relationship Id="rId182" Type="http://schemas.openxmlformats.org/officeDocument/2006/relationships/hyperlink" Target="https://www.britannica.com/place/Tuvalu" TargetMode="External"/><Relationship Id="rId6" Type="http://schemas.openxmlformats.org/officeDocument/2006/relationships/hyperlink" Target="https://www.britannica.com/place/Antigua-and-Barbuda" TargetMode="External"/><Relationship Id="rId23" Type="http://schemas.openxmlformats.org/officeDocument/2006/relationships/hyperlink" Target="https://www.britannica.com/place/Brazil" TargetMode="External"/><Relationship Id="rId119" Type="http://schemas.openxmlformats.org/officeDocument/2006/relationships/hyperlink" Target="https://www.britannica.com/place/Nauru" TargetMode="External"/><Relationship Id="rId44" Type="http://schemas.openxmlformats.org/officeDocument/2006/relationships/hyperlink" Target="https://www.britannica.com/place/Democratic-Republic-of-the-Congo" TargetMode="External"/><Relationship Id="rId65" Type="http://schemas.openxmlformats.org/officeDocument/2006/relationships/hyperlink" Target="https://www.britannica.com/place/Greece" TargetMode="External"/><Relationship Id="rId86" Type="http://schemas.openxmlformats.org/officeDocument/2006/relationships/hyperlink" Target="https://www.britannica.com/place/Kenya" TargetMode="External"/><Relationship Id="rId130" Type="http://schemas.openxmlformats.org/officeDocument/2006/relationships/hyperlink" Target="https://www.britannica.com/place/Pakistan" TargetMode="External"/><Relationship Id="rId151" Type="http://schemas.openxmlformats.org/officeDocument/2006/relationships/hyperlink" Target="https://www.britannica.com/place/Senegal" TargetMode="External"/><Relationship Id="rId172" Type="http://schemas.openxmlformats.org/officeDocument/2006/relationships/hyperlink" Target="https://www.britannica.com/place/Tanzania" TargetMode="External"/><Relationship Id="rId193" Type="http://schemas.openxmlformats.org/officeDocument/2006/relationships/hyperlink" Target="https://www.britannica.com/place/Vietnam" TargetMode="External"/><Relationship Id="rId13" Type="http://schemas.openxmlformats.org/officeDocument/2006/relationships/hyperlink" Target="https://www.britannica.com/place/Bangladesh" TargetMode="External"/><Relationship Id="rId109" Type="http://schemas.openxmlformats.org/officeDocument/2006/relationships/hyperlink" Target="https://www.britannica.com/place/Mexico" TargetMode="External"/><Relationship Id="rId34" Type="http://schemas.openxmlformats.org/officeDocument/2006/relationships/hyperlink" Target="https://www.britannica.com/place/Chile" TargetMode="External"/><Relationship Id="rId55" Type="http://schemas.openxmlformats.org/officeDocument/2006/relationships/hyperlink" Target="https://www.britannica.com/place/Estonia" TargetMode="External"/><Relationship Id="rId76" Type="http://schemas.openxmlformats.org/officeDocument/2006/relationships/hyperlink" Target="https://www.britannica.com/place/Indonesia" TargetMode="External"/><Relationship Id="rId97" Type="http://schemas.openxmlformats.org/officeDocument/2006/relationships/hyperlink" Target="https://www.britannica.com/place/Liechtenstein" TargetMode="External"/><Relationship Id="rId120" Type="http://schemas.openxmlformats.org/officeDocument/2006/relationships/hyperlink" Target="https://www.britannica.com/place/Nepal" TargetMode="External"/><Relationship Id="rId141" Type="http://schemas.openxmlformats.org/officeDocument/2006/relationships/hyperlink" Target="https://www.britannica.com/place/Romania" TargetMode="External"/><Relationship Id="rId7" Type="http://schemas.openxmlformats.org/officeDocument/2006/relationships/hyperlink" Target="https://www.britannica.com/place/Argentina" TargetMode="External"/><Relationship Id="rId71" Type="http://schemas.openxmlformats.org/officeDocument/2006/relationships/hyperlink" Target="https://www.britannica.com/place/Haiti" TargetMode="External"/><Relationship Id="rId92" Type="http://schemas.openxmlformats.org/officeDocument/2006/relationships/hyperlink" Target="https://www.britannica.com/place/Latvia" TargetMode="External"/><Relationship Id="rId162" Type="http://schemas.openxmlformats.org/officeDocument/2006/relationships/hyperlink" Target="https://www.britannica.com/place/South-Sudan" TargetMode="External"/><Relationship Id="rId183" Type="http://schemas.openxmlformats.org/officeDocument/2006/relationships/hyperlink" Target="https://www.britannica.com/place/Uganda" TargetMode="External"/><Relationship Id="rId2" Type="http://schemas.openxmlformats.org/officeDocument/2006/relationships/hyperlink" Target="https://www.britannica.com/place/Albania" TargetMode="External"/><Relationship Id="rId29" Type="http://schemas.openxmlformats.org/officeDocument/2006/relationships/hyperlink" Target="https://www.britannica.com/place/Cambodia" TargetMode="External"/><Relationship Id="rId24" Type="http://schemas.openxmlformats.org/officeDocument/2006/relationships/hyperlink" Target="https://www.britannica.com/place/Brunei" TargetMode="External"/><Relationship Id="rId40" Type="http://schemas.openxmlformats.org/officeDocument/2006/relationships/hyperlink" Target="https://www.britannica.com/place/Croatia" TargetMode="External"/><Relationship Id="rId45" Type="http://schemas.openxmlformats.org/officeDocument/2006/relationships/hyperlink" Target="https://www.britannica.com/place/Denmark" TargetMode="External"/><Relationship Id="rId66" Type="http://schemas.openxmlformats.org/officeDocument/2006/relationships/hyperlink" Target="https://www.britannica.com/place/Grenada" TargetMode="External"/><Relationship Id="rId87" Type="http://schemas.openxmlformats.org/officeDocument/2006/relationships/hyperlink" Target="https://www.britannica.com/place/Kiribati" TargetMode="External"/><Relationship Id="rId110" Type="http://schemas.openxmlformats.org/officeDocument/2006/relationships/hyperlink" Target="https://www.britannica.com/place/Micronesia-republic-Pacific-Ocean" TargetMode="External"/><Relationship Id="rId115" Type="http://schemas.openxmlformats.org/officeDocument/2006/relationships/hyperlink" Target="https://www.britannica.com/place/Morocco" TargetMode="External"/><Relationship Id="rId131" Type="http://schemas.openxmlformats.org/officeDocument/2006/relationships/hyperlink" Target="https://www.britannica.com/place/Palau" TargetMode="External"/><Relationship Id="rId136" Type="http://schemas.openxmlformats.org/officeDocument/2006/relationships/hyperlink" Target="https://www.britannica.com/place/Philippines" TargetMode="External"/><Relationship Id="rId157" Type="http://schemas.openxmlformats.org/officeDocument/2006/relationships/hyperlink" Target="https://www.britannica.com/place/Slovenia" TargetMode="External"/><Relationship Id="rId178" Type="http://schemas.openxmlformats.org/officeDocument/2006/relationships/hyperlink" Target="https://www.britannica.com/place/Trinidad-and-Tobago" TargetMode="External"/><Relationship Id="rId61" Type="http://schemas.openxmlformats.org/officeDocument/2006/relationships/hyperlink" Target="https://www.britannica.com/place/Gabon" TargetMode="External"/><Relationship Id="rId82" Type="http://schemas.openxmlformats.org/officeDocument/2006/relationships/hyperlink" Target="https://www.britannica.com/place/Jamaica" TargetMode="External"/><Relationship Id="rId152" Type="http://schemas.openxmlformats.org/officeDocument/2006/relationships/hyperlink" Target="https://www.britannica.com/place/Serbia" TargetMode="External"/><Relationship Id="rId173" Type="http://schemas.openxmlformats.org/officeDocument/2006/relationships/hyperlink" Target="https://www.britannica.com/place/Thailand" TargetMode="External"/><Relationship Id="rId194" Type="http://schemas.openxmlformats.org/officeDocument/2006/relationships/hyperlink" Target="https://www.britannica.com/place/Yemen" TargetMode="External"/><Relationship Id="rId19" Type="http://schemas.openxmlformats.org/officeDocument/2006/relationships/hyperlink" Target="https://www.britannica.com/place/Bhutan" TargetMode="External"/><Relationship Id="rId14" Type="http://schemas.openxmlformats.org/officeDocument/2006/relationships/hyperlink" Target="https://www.britannica.com/place/Barbados" TargetMode="External"/><Relationship Id="rId30" Type="http://schemas.openxmlformats.org/officeDocument/2006/relationships/hyperlink" Target="https://www.britannica.com/place/Cameroon" TargetMode="External"/><Relationship Id="rId35" Type="http://schemas.openxmlformats.org/officeDocument/2006/relationships/hyperlink" Target="https://www.britannica.com/place/China" TargetMode="External"/><Relationship Id="rId56" Type="http://schemas.openxmlformats.org/officeDocument/2006/relationships/hyperlink" Target="https://www.britannica.com/place/Eswatini" TargetMode="External"/><Relationship Id="rId77" Type="http://schemas.openxmlformats.org/officeDocument/2006/relationships/hyperlink" Target="https://www.britannica.com/place/Iran" TargetMode="External"/><Relationship Id="rId100" Type="http://schemas.openxmlformats.org/officeDocument/2006/relationships/hyperlink" Target="https://www.britannica.com/place/Madagascar" TargetMode="External"/><Relationship Id="rId105" Type="http://schemas.openxmlformats.org/officeDocument/2006/relationships/hyperlink" Target="https://www.britannica.com/place/Malta" TargetMode="External"/><Relationship Id="rId126" Type="http://schemas.openxmlformats.org/officeDocument/2006/relationships/hyperlink" Target="https://www.britannica.com/place/North-Korea" TargetMode="External"/><Relationship Id="rId147" Type="http://schemas.openxmlformats.org/officeDocument/2006/relationships/hyperlink" Target="https://www.britannica.com/place/Samoa-island-nation-Pacific-Ocean" TargetMode="External"/><Relationship Id="rId168" Type="http://schemas.openxmlformats.org/officeDocument/2006/relationships/hyperlink" Target="https://www.britannica.com/place/Switzerland" TargetMode="External"/><Relationship Id="rId8" Type="http://schemas.openxmlformats.org/officeDocument/2006/relationships/hyperlink" Target="https://www.britannica.com/place/Armenia" TargetMode="External"/><Relationship Id="rId51" Type="http://schemas.openxmlformats.org/officeDocument/2006/relationships/hyperlink" Target="https://www.britannica.com/place/Egypt" TargetMode="External"/><Relationship Id="rId72" Type="http://schemas.openxmlformats.org/officeDocument/2006/relationships/hyperlink" Target="https://www.britannica.com/place/Honduras" TargetMode="External"/><Relationship Id="rId93" Type="http://schemas.openxmlformats.org/officeDocument/2006/relationships/hyperlink" Target="https://www.britannica.com/place/Lebanon" TargetMode="External"/><Relationship Id="rId98" Type="http://schemas.openxmlformats.org/officeDocument/2006/relationships/hyperlink" Target="https://www.britannica.com/place/Lithuania" TargetMode="External"/><Relationship Id="rId121" Type="http://schemas.openxmlformats.org/officeDocument/2006/relationships/hyperlink" Target="https://www.britannica.com/place/Netherlands" TargetMode="External"/><Relationship Id="rId142" Type="http://schemas.openxmlformats.org/officeDocument/2006/relationships/hyperlink" Target="https://www.britannica.com/place/Russia" TargetMode="External"/><Relationship Id="rId163" Type="http://schemas.openxmlformats.org/officeDocument/2006/relationships/hyperlink" Target="https://www.britannica.com/place/Spain" TargetMode="External"/><Relationship Id="rId184" Type="http://schemas.openxmlformats.org/officeDocument/2006/relationships/hyperlink" Target="https://www.britannica.com/place/Ukraine" TargetMode="External"/><Relationship Id="rId189" Type="http://schemas.openxmlformats.org/officeDocument/2006/relationships/hyperlink" Target="https://www.britannica.com/place/Uzbekistan" TargetMode="External"/><Relationship Id="rId3" Type="http://schemas.openxmlformats.org/officeDocument/2006/relationships/hyperlink" Target="https://www.britannica.com/place/Algeria" TargetMode="External"/><Relationship Id="rId25" Type="http://schemas.openxmlformats.org/officeDocument/2006/relationships/hyperlink" Target="https://www.britannica.com/place/Bulgaria" TargetMode="External"/><Relationship Id="rId46" Type="http://schemas.openxmlformats.org/officeDocument/2006/relationships/hyperlink" Target="https://www.britannica.com/place/Djibouti" TargetMode="External"/><Relationship Id="rId67" Type="http://schemas.openxmlformats.org/officeDocument/2006/relationships/hyperlink" Target="https://www.britannica.com/place/Guatemala" TargetMode="External"/><Relationship Id="rId116" Type="http://schemas.openxmlformats.org/officeDocument/2006/relationships/hyperlink" Target="https://www.britannica.com/place/Mozambique" TargetMode="External"/><Relationship Id="rId137" Type="http://schemas.openxmlformats.org/officeDocument/2006/relationships/hyperlink" Target="https://www.britannica.com/place/Poland" TargetMode="External"/><Relationship Id="rId158" Type="http://schemas.openxmlformats.org/officeDocument/2006/relationships/hyperlink" Target="https://www.britannica.com/place/Solomon-Islands" TargetMode="External"/><Relationship Id="rId20" Type="http://schemas.openxmlformats.org/officeDocument/2006/relationships/hyperlink" Target="https://www.britannica.com/place/Bolivia" TargetMode="External"/><Relationship Id="rId41" Type="http://schemas.openxmlformats.org/officeDocument/2006/relationships/hyperlink" Target="https://www.britannica.com/place/Cuba" TargetMode="External"/><Relationship Id="rId62" Type="http://schemas.openxmlformats.org/officeDocument/2006/relationships/hyperlink" Target="https://www.britannica.com/place/Georgia" TargetMode="External"/><Relationship Id="rId83" Type="http://schemas.openxmlformats.org/officeDocument/2006/relationships/hyperlink" Target="https://www.britannica.com/place/Japan" TargetMode="External"/><Relationship Id="rId88" Type="http://schemas.openxmlformats.org/officeDocument/2006/relationships/hyperlink" Target="https://www.britannica.com/place/Kosovo" TargetMode="External"/><Relationship Id="rId111" Type="http://schemas.openxmlformats.org/officeDocument/2006/relationships/hyperlink" Target="https://www.britannica.com/place/Moldova" TargetMode="External"/><Relationship Id="rId132" Type="http://schemas.openxmlformats.org/officeDocument/2006/relationships/hyperlink" Target="https://www.britannica.com/place/Panama" TargetMode="External"/><Relationship Id="rId153" Type="http://schemas.openxmlformats.org/officeDocument/2006/relationships/hyperlink" Target="https://www.britannica.com/place/Seychelles" TargetMode="External"/><Relationship Id="rId174" Type="http://schemas.openxmlformats.org/officeDocument/2006/relationships/hyperlink" Target="https://www.britannica.com/place/The-Bahamas" TargetMode="External"/><Relationship Id="rId179" Type="http://schemas.openxmlformats.org/officeDocument/2006/relationships/hyperlink" Target="https://www.britannica.com/place/Tunisia" TargetMode="External"/><Relationship Id="rId195" Type="http://schemas.openxmlformats.org/officeDocument/2006/relationships/hyperlink" Target="https://www.britannica.com/place/Zambia" TargetMode="External"/><Relationship Id="rId190" Type="http://schemas.openxmlformats.org/officeDocument/2006/relationships/hyperlink" Target="https://www.britannica.com/place/Vanuatu" TargetMode="External"/><Relationship Id="rId15" Type="http://schemas.openxmlformats.org/officeDocument/2006/relationships/hyperlink" Target="https://www.britannica.com/place/Belarus" TargetMode="External"/><Relationship Id="rId36" Type="http://schemas.openxmlformats.org/officeDocument/2006/relationships/hyperlink" Target="https://www.britannica.com/place/Colombia" TargetMode="External"/><Relationship Id="rId57" Type="http://schemas.openxmlformats.org/officeDocument/2006/relationships/hyperlink" Target="https://www.britannica.com/place/Ethiopia" TargetMode="External"/><Relationship Id="rId106" Type="http://schemas.openxmlformats.org/officeDocument/2006/relationships/hyperlink" Target="https://www.britannica.com/place/Marshall-Islands" TargetMode="External"/><Relationship Id="rId127" Type="http://schemas.openxmlformats.org/officeDocument/2006/relationships/hyperlink" Target="https://www.britannica.com/place/North-Macedonia" TargetMode="External"/><Relationship Id="rId10" Type="http://schemas.openxmlformats.org/officeDocument/2006/relationships/hyperlink" Target="https://www.britannica.com/place/Austria" TargetMode="External"/><Relationship Id="rId31" Type="http://schemas.openxmlformats.org/officeDocument/2006/relationships/hyperlink" Target="https://www.britannica.com/place/Canada" TargetMode="External"/><Relationship Id="rId52" Type="http://schemas.openxmlformats.org/officeDocument/2006/relationships/hyperlink" Target="https://www.britannica.com/place/El-Salvador" TargetMode="External"/><Relationship Id="rId73" Type="http://schemas.openxmlformats.org/officeDocument/2006/relationships/hyperlink" Target="https://www.britannica.com/place/Hungary" TargetMode="External"/><Relationship Id="rId78" Type="http://schemas.openxmlformats.org/officeDocument/2006/relationships/hyperlink" Target="https://www.britannica.com/place/Iraq" TargetMode="External"/><Relationship Id="rId94" Type="http://schemas.openxmlformats.org/officeDocument/2006/relationships/hyperlink" Target="https://www.britannica.com/place/Lesotho" TargetMode="External"/><Relationship Id="rId99" Type="http://schemas.openxmlformats.org/officeDocument/2006/relationships/hyperlink" Target="https://www.britannica.com/place/Luxembourg" TargetMode="External"/><Relationship Id="rId101" Type="http://schemas.openxmlformats.org/officeDocument/2006/relationships/hyperlink" Target="https://www.britannica.com/place/Malawi" TargetMode="External"/><Relationship Id="rId122" Type="http://schemas.openxmlformats.org/officeDocument/2006/relationships/hyperlink" Target="https://www.britannica.com/place/New-Zealand" TargetMode="External"/><Relationship Id="rId143" Type="http://schemas.openxmlformats.org/officeDocument/2006/relationships/hyperlink" Target="https://www.britannica.com/place/Rwanda" TargetMode="External"/><Relationship Id="rId148" Type="http://schemas.openxmlformats.org/officeDocument/2006/relationships/hyperlink" Target="https://www.britannica.com/place/San-Marino-republic-Europe" TargetMode="External"/><Relationship Id="rId164" Type="http://schemas.openxmlformats.org/officeDocument/2006/relationships/hyperlink" Target="https://www.britannica.com/place/Sri-Lanka" TargetMode="External"/><Relationship Id="rId169" Type="http://schemas.openxmlformats.org/officeDocument/2006/relationships/hyperlink" Target="https://www.britannica.com/place/Syria" TargetMode="External"/><Relationship Id="rId185" Type="http://schemas.openxmlformats.org/officeDocument/2006/relationships/hyperlink" Target="https://www.britannica.com/place/United-Arab-Emirates" TargetMode="External"/><Relationship Id="rId4" Type="http://schemas.openxmlformats.org/officeDocument/2006/relationships/hyperlink" Target="https://www.britannica.com/place/Andorra" TargetMode="External"/><Relationship Id="rId9" Type="http://schemas.openxmlformats.org/officeDocument/2006/relationships/hyperlink" Target="https://www.britannica.com/place/Australia" TargetMode="External"/><Relationship Id="rId180" Type="http://schemas.openxmlformats.org/officeDocument/2006/relationships/hyperlink" Target="https://www.britannica.com/place/Turkey" TargetMode="External"/><Relationship Id="rId26" Type="http://schemas.openxmlformats.org/officeDocument/2006/relationships/hyperlink" Target="https://www.britannica.com/place/Burkina-Faso" TargetMode="External"/><Relationship Id="rId47" Type="http://schemas.openxmlformats.org/officeDocument/2006/relationships/hyperlink" Target="https://www.britannica.com/place/Dominica" TargetMode="External"/><Relationship Id="rId68" Type="http://schemas.openxmlformats.org/officeDocument/2006/relationships/hyperlink" Target="https://www.britannica.com/place/Guinea" TargetMode="External"/><Relationship Id="rId89" Type="http://schemas.openxmlformats.org/officeDocument/2006/relationships/hyperlink" Target="https://www.britannica.com/place/Kuwait" TargetMode="External"/><Relationship Id="rId112" Type="http://schemas.openxmlformats.org/officeDocument/2006/relationships/hyperlink" Target="https://www.britannica.com/place/Monaco" TargetMode="External"/><Relationship Id="rId133" Type="http://schemas.openxmlformats.org/officeDocument/2006/relationships/hyperlink" Target="https://www.britannica.com/place/Papua-New-Guinea" TargetMode="External"/><Relationship Id="rId154" Type="http://schemas.openxmlformats.org/officeDocument/2006/relationships/hyperlink" Target="https://www.britannica.com/place/Sierra-Leone" TargetMode="External"/><Relationship Id="rId175" Type="http://schemas.openxmlformats.org/officeDocument/2006/relationships/hyperlink" Target="https://www.britannica.com/place/The-Gambia" TargetMode="External"/><Relationship Id="rId196" Type="http://schemas.openxmlformats.org/officeDocument/2006/relationships/hyperlink" Target="https://www.britannica.com/place/Zimbabwe" TargetMode="External"/><Relationship Id="rId16" Type="http://schemas.openxmlformats.org/officeDocument/2006/relationships/hyperlink" Target="https://www.britannica.com/place/Belgium" TargetMode="External"/><Relationship Id="rId37" Type="http://schemas.openxmlformats.org/officeDocument/2006/relationships/hyperlink" Target="https://www.britannica.com/place/Comoros" TargetMode="External"/><Relationship Id="rId58" Type="http://schemas.openxmlformats.org/officeDocument/2006/relationships/hyperlink" Target="https://www.britannica.com/place/Fiji-republic-Pacific-Ocean" TargetMode="External"/><Relationship Id="rId79" Type="http://schemas.openxmlformats.org/officeDocument/2006/relationships/hyperlink" Target="https://www.britannica.com/place/Ireland" TargetMode="External"/><Relationship Id="rId102" Type="http://schemas.openxmlformats.org/officeDocument/2006/relationships/hyperlink" Target="https://www.britannica.com/place/Malaysia" TargetMode="External"/><Relationship Id="rId123" Type="http://schemas.openxmlformats.org/officeDocument/2006/relationships/hyperlink" Target="https://www.britannica.com/place/Nicaragua" TargetMode="External"/><Relationship Id="rId144" Type="http://schemas.openxmlformats.org/officeDocument/2006/relationships/hyperlink" Target="https://www.britannica.com/place/Saint-Kitts-and-Nevis" TargetMode="External"/><Relationship Id="rId90" Type="http://schemas.openxmlformats.org/officeDocument/2006/relationships/hyperlink" Target="https://www.britannica.com/place/Kyrgyzstan" TargetMode="External"/><Relationship Id="rId165" Type="http://schemas.openxmlformats.org/officeDocument/2006/relationships/hyperlink" Target="https://www.britannica.com/place/Sudan" TargetMode="External"/><Relationship Id="rId186" Type="http://schemas.openxmlformats.org/officeDocument/2006/relationships/hyperlink" Target="https://www.britannica.com/place/United-Kingdom" TargetMode="External"/><Relationship Id="rId27" Type="http://schemas.openxmlformats.org/officeDocument/2006/relationships/hyperlink" Target="https://www.britannica.com/place/Burundi" TargetMode="External"/><Relationship Id="rId48" Type="http://schemas.openxmlformats.org/officeDocument/2006/relationships/hyperlink" Target="https://www.britannica.com/place/Dominican-Republic" TargetMode="External"/><Relationship Id="rId69" Type="http://schemas.openxmlformats.org/officeDocument/2006/relationships/hyperlink" Target="https://www.britannica.com/place/Guinea-Bissau" TargetMode="External"/><Relationship Id="rId113" Type="http://schemas.openxmlformats.org/officeDocument/2006/relationships/hyperlink" Target="https://www.britannica.com/place/Mongolia" TargetMode="External"/><Relationship Id="rId134" Type="http://schemas.openxmlformats.org/officeDocument/2006/relationships/hyperlink" Target="https://www.britannica.com/place/Paraguay" TargetMode="External"/><Relationship Id="rId80" Type="http://schemas.openxmlformats.org/officeDocument/2006/relationships/hyperlink" Target="https://www.britannica.com/place/Israel" TargetMode="External"/><Relationship Id="rId155" Type="http://schemas.openxmlformats.org/officeDocument/2006/relationships/hyperlink" Target="https://www.britannica.com/place/Singapore" TargetMode="External"/><Relationship Id="rId176" Type="http://schemas.openxmlformats.org/officeDocument/2006/relationships/hyperlink" Target="https://www.britannica.com/place/Togo" TargetMode="External"/><Relationship Id="rId197" Type="http://schemas.openxmlformats.org/officeDocument/2006/relationships/drawing" Target="../drawings/drawing1.xml"/><Relationship Id="rId17" Type="http://schemas.openxmlformats.org/officeDocument/2006/relationships/hyperlink" Target="https://www.britannica.com/place/Belize" TargetMode="External"/><Relationship Id="rId38" Type="http://schemas.openxmlformats.org/officeDocument/2006/relationships/hyperlink" Target="https://www.britannica.com/place/Costa-Rica" TargetMode="External"/><Relationship Id="rId59" Type="http://schemas.openxmlformats.org/officeDocument/2006/relationships/hyperlink" Target="https://www.britannica.com/place/Finland" TargetMode="External"/><Relationship Id="rId103" Type="http://schemas.openxmlformats.org/officeDocument/2006/relationships/hyperlink" Target="https://www.britannica.com/place/Maldives" TargetMode="External"/><Relationship Id="rId124" Type="http://schemas.openxmlformats.org/officeDocument/2006/relationships/hyperlink" Target="https://www.britannica.com/place/Niger" TargetMode="External"/><Relationship Id="rId70" Type="http://schemas.openxmlformats.org/officeDocument/2006/relationships/hyperlink" Target="https://www.britannica.com/place/Guyana" TargetMode="External"/><Relationship Id="rId91" Type="http://schemas.openxmlformats.org/officeDocument/2006/relationships/hyperlink" Target="https://www.britannica.com/place/Laos" TargetMode="External"/><Relationship Id="rId145" Type="http://schemas.openxmlformats.org/officeDocument/2006/relationships/hyperlink" Target="https://www.britannica.com/place/Saint-Lucia" TargetMode="External"/><Relationship Id="rId166" Type="http://schemas.openxmlformats.org/officeDocument/2006/relationships/hyperlink" Target="https://www.britannica.com/place/Suriname" TargetMode="External"/><Relationship Id="rId187" Type="http://schemas.openxmlformats.org/officeDocument/2006/relationships/hyperlink" Target="https://www.britannica.com/place/United-States" TargetMode="External"/><Relationship Id="rId1" Type="http://schemas.openxmlformats.org/officeDocument/2006/relationships/hyperlink" Target="https://www.britannica.com/place/Afghanistan" TargetMode="External"/><Relationship Id="rId28" Type="http://schemas.openxmlformats.org/officeDocument/2006/relationships/hyperlink" Target="https://www.britannica.com/place/Cabo-Verde" TargetMode="External"/><Relationship Id="rId49" Type="http://schemas.openxmlformats.org/officeDocument/2006/relationships/hyperlink" Target="https://www.britannica.com/place/East-Timor" TargetMode="External"/><Relationship Id="rId114" Type="http://schemas.openxmlformats.org/officeDocument/2006/relationships/hyperlink" Target="https://www.britannica.com/place/Montenegro" TargetMode="External"/><Relationship Id="rId60" Type="http://schemas.openxmlformats.org/officeDocument/2006/relationships/hyperlink" Target="https://www.britannica.com/place/France" TargetMode="External"/><Relationship Id="rId81" Type="http://schemas.openxmlformats.org/officeDocument/2006/relationships/hyperlink" Target="https://www.britannica.com/place/Italy" TargetMode="External"/><Relationship Id="rId135" Type="http://schemas.openxmlformats.org/officeDocument/2006/relationships/hyperlink" Target="https://www.britannica.com/place/Peru" TargetMode="External"/><Relationship Id="rId156" Type="http://schemas.openxmlformats.org/officeDocument/2006/relationships/hyperlink" Target="https://www.britannica.com/place/Slovakia" TargetMode="External"/><Relationship Id="rId177" Type="http://schemas.openxmlformats.org/officeDocument/2006/relationships/hyperlink" Target="https://www.britannica.com/place/Tonga" TargetMode="External"/><Relationship Id="rId198" Type="http://schemas.openxmlformats.org/officeDocument/2006/relationships/table" Target="../tables/table1.xml"/><Relationship Id="rId18" Type="http://schemas.openxmlformats.org/officeDocument/2006/relationships/hyperlink" Target="https://www.britannica.com/place/Benin" TargetMode="External"/><Relationship Id="rId39" Type="http://schemas.openxmlformats.org/officeDocument/2006/relationships/hyperlink" Target="https://www.britannica.com/place/Cote-dIvoire" TargetMode="External"/><Relationship Id="rId50" Type="http://schemas.openxmlformats.org/officeDocument/2006/relationships/hyperlink" Target="https://www.britannica.com/place/Ecuador" TargetMode="External"/><Relationship Id="rId104" Type="http://schemas.openxmlformats.org/officeDocument/2006/relationships/hyperlink" Target="https://www.britannica.com/place/Mali" TargetMode="External"/><Relationship Id="rId125" Type="http://schemas.openxmlformats.org/officeDocument/2006/relationships/hyperlink" Target="https://www.britannica.com/place/Nigeria" TargetMode="External"/><Relationship Id="rId146" Type="http://schemas.openxmlformats.org/officeDocument/2006/relationships/hyperlink" Target="https://www.britannica.com/place/Saint-Vincent-and-the-Grenadines" TargetMode="External"/><Relationship Id="rId167" Type="http://schemas.openxmlformats.org/officeDocument/2006/relationships/hyperlink" Target="https://www.britannica.com/place/Sweden" TargetMode="External"/><Relationship Id="rId188" Type="http://schemas.openxmlformats.org/officeDocument/2006/relationships/hyperlink" Target="https://www.britannica.com/place/Uruguay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British_Mauritius" TargetMode="External"/><Relationship Id="rId299" Type="http://schemas.openxmlformats.org/officeDocument/2006/relationships/hyperlink" Target="https://en.wikipedia.org/wiki/Papal_States" TargetMode="External"/><Relationship Id="rId21" Type="http://schemas.openxmlformats.org/officeDocument/2006/relationships/hyperlink" Target="https://en.wikipedia.org/wiki/Central_African_Republic'" TargetMode="External"/><Relationship Id="rId63" Type="http://schemas.openxmlformats.org/officeDocument/2006/relationships/hyperlink" Target="https://en.wikipedia.org/wiki/French_Chad" TargetMode="External"/><Relationship Id="rId159" Type="http://schemas.openxmlformats.org/officeDocument/2006/relationships/hyperlink" Target="https://en.wikipedia.org/wiki/Syria" TargetMode="External"/><Relationship Id="rId324" Type="http://schemas.openxmlformats.org/officeDocument/2006/relationships/hyperlink" Target="https://en.wikipedia.org/wiki/Sint_Maarten" TargetMode="External"/><Relationship Id="rId366" Type="http://schemas.openxmlformats.org/officeDocument/2006/relationships/hyperlink" Target="https://en.wikipedia.org/wiki/Belgium" TargetMode="External"/><Relationship Id="rId170" Type="http://schemas.openxmlformats.org/officeDocument/2006/relationships/hyperlink" Target="https://en.wikipedia.org/wiki/Jordan" TargetMode="External"/><Relationship Id="rId226" Type="http://schemas.openxmlformats.org/officeDocument/2006/relationships/hyperlink" Target="https://en.wikipedia.org/wiki/Cambodia" TargetMode="External"/><Relationship Id="rId433" Type="http://schemas.openxmlformats.org/officeDocument/2006/relationships/hyperlink" Target="https://en.wikipedia.org/wiki/American_Samoa" TargetMode="External"/><Relationship Id="rId268" Type="http://schemas.openxmlformats.org/officeDocument/2006/relationships/hyperlink" Target="https://en.wikipedia.org/wiki/Second_Polish_Republic" TargetMode="External"/><Relationship Id="rId475" Type="http://schemas.openxmlformats.org/officeDocument/2006/relationships/hyperlink" Target="https://en.wikipedia.org/wiki/History_of_French_Guiana" TargetMode="External"/><Relationship Id="rId32" Type="http://schemas.openxmlformats.org/officeDocument/2006/relationships/hyperlink" Target="https://en.wikipedia.org/wiki/Mali_Federation" TargetMode="External"/><Relationship Id="rId74" Type="http://schemas.openxmlformats.org/officeDocument/2006/relationships/hyperlink" Target="https://en.wikipedia.org/wiki/Democratic_Republic_of_the_Congo" TargetMode="External"/><Relationship Id="rId128" Type="http://schemas.openxmlformats.org/officeDocument/2006/relationships/hyperlink" Target="https://en.wikipedia.org/wiki/Egypt" TargetMode="External"/><Relationship Id="rId335" Type="http://schemas.openxmlformats.org/officeDocument/2006/relationships/hyperlink" Target="https://en.wikipedia.org/wiki/Antigua_and_Barbuda" TargetMode="External"/><Relationship Id="rId377" Type="http://schemas.openxmlformats.org/officeDocument/2006/relationships/hyperlink" Target="https://en.wikipedia.org/wiki/Duchy_of_Holstein" TargetMode="External"/><Relationship Id="rId5" Type="http://schemas.openxmlformats.org/officeDocument/2006/relationships/hyperlink" Target="https://en.wikipedia.org/wiki/Italian_Somaliland" TargetMode="External"/><Relationship Id="rId181" Type="http://schemas.openxmlformats.org/officeDocument/2006/relationships/hyperlink" Target="https://en.wikipedia.org/wiki/Muscat_and_Oman" TargetMode="External"/><Relationship Id="rId237" Type="http://schemas.openxmlformats.org/officeDocument/2006/relationships/hyperlink" Target="https://en.wikipedia.org/wiki/Qing_dynasty" TargetMode="External"/><Relationship Id="rId402" Type="http://schemas.openxmlformats.org/officeDocument/2006/relationships/hyperlink" Target="https://en.wikipedia.org/wiki/Belize" TargetMode="External"/><Relationship Id="rId279" Type="http://schemas.openxmlformats.org/officeDocument/2006/relationships/hyperlink" Target="https://en.wikipedia.org/wiki/Greece" TargetMode="External"/><Relationship Id="rId444" Type="http://schemas.openxmlformats.org/officeDocument/2006/relationships/hyperlink" Target="https://en.wikipedia.org/wiki/Gilbert_Islands" TargetMode="External"/><Relationship Id="rId43" Type="http://schemas.openxmlformats.org/officeDocument/2006/relationships/hyperlink" Target="https://en.wikipedia.org/wiki/History_of_Ivory_Coast" TargetMode="External"/><Relationship Id="rId139" Type="http://schemas.openxmlformats.org/officeDocument/2006/relationships/hyperlink" Target="https://en.wikipedia.org/wiki/Tunisia" TargetMode="External"/><Relationship Id="rId290" Type="http://schemas.openxmlformats.org/officeDocument/2006/relationships/hyperlink" Target="https://en.wikipedia.org/wiki/Bosnia_and_Herzegovina" TargetMode="External"/><Relationship Id="rId304" Type="http://schemas.openxmlformats.org/officeDocument/2006/relationships/hyperlink" Target="https://en.wikipedia.org/wiki/Malta" TargetMode="External"/><Relationship Id="rId346" Type="http://schemas.openxmlformats.org/officeDocument/2006/relationships/hyperlink" Target="https://en.wikipedia.org/wiki/First_Dominican_Republic" TargetMode="External"/><Relationship Id="rId388" Type="http://schemas.openxmlformats.org/officeDocument/2006/relationships/hyperlink" Target="https://en.wikipedia.org/wiki/Grand_Duchy_of_Finland" TargetMode="External"/><Relationship Id="rId85" Type="http://schemas.openxmlformats.org/officeDocument/2006/relationships/hyperlink" Target="https://en.wikipedia.org/wiki/Colony_of_Natal" TargetMode="External"/><Relationship Id="rId150" Type="http://schemas.openxmlformats.org/officeDocument/2006/relationships/hyperlink" Target="https://en.wikipedia.org/wiki/Kuwait" TargetMode="External"/><Relationship Id="rId192" Type="http://schemas.openxmlformats.org/officeDocument/2006/relationships/hyperlink" Target="https://en.wikipedia.org/wiki/Mandatory_Iraq" TargetMode="External"/><Relationship Id="rId206" Type="http://schemas.openxmlformats.org/officeDocument/2006/relationships/hyperlink" Target="https://en.wikipedia.org/wiki/Nepal" TargetMode="External"/><Relationship Id="rId413" Type="http://schemas.openxmlformats.org/officeDocument/2006/relationships/hyperlink" Target="https://en.wikipedia.org/wiki/Greenland" TargetMode="External"/><Relationship Id="rId248" Type="http://schemas.openxmlformats.org/officeDocument/2006/relationships/hyperlink" Target="https://en.wikipedia.org/wiki/Kyrgyzstan" TargetMode="External"/><Relationship Id="rId455" Type="http://schemas.openxmlformats.org/officeDocument/2006/relationships/hyperlink" Target="https://en.wikipedia.org/wiki/United_Kingdom_of_Portugal,_Brazil_and_the_Algarves" TargetMode="External"/><Relationship Id="rId12" Type="http://schemas.openxmlformats.org/officeDocument/2006/relationships/hyperlink" Target="https://en.wikipedia.org/wiki/Somali_Republic" TargetMode="External"/><Relationship Id="rId108" Type="http://schemas.openxmlformats.org/officeDocument/2006/relationships/hyperlink" Target="https://en.wikipedia.org/wiki/Sultanate_of_Zanzibar" TargetMode="External"/><Relationship Id="rId315" Type="http://schemas.openxmlformats.org/officeDocument/2006/relationships/hyperlink" Target="https://en.wikipedia.org/wiki/The_Bahamas" TargetMode="External"/><Relationship Id="rId357" Type="http://schemas.openxmlformats.org/officeDocument/2006/relationships/hyperlink" Target="https://en.wikipedia.org/wiki/Panama" TargetMode="External"/><Relationship Id="rId54" Type="http://schemas.openxmlformats.org/officeDocument/2006/relationships/hyperlink" Target="https://en.wikipedia.org/wiki/Niger" TargetMode="External"/><Relationship Id="rId96" Type="http://schemas.openxmlformats.org/officeDocument/2006/relationships/hyperlink" Target="https://en.wikipedia.org/wiki/Zimbabwe" TargetMode="External"/><Relationship Id="rId161" Type="http://schemas.openxmlformats.org/officeDocument/2006/relationships/hyperlink" Target="https://en.wikipedia.org/wiki/Mandate_for_Syria_and_the_Lebanon" TargetMode="External"/><Relationship Id="rId217" Type="http://schemas.openxmlformats.org/officeDocument/2006/relationships/hyperlink" Target="https://en.wikipedia.org/wiki/Malayan_Union" TargetMode="External"/><Relationship Id="rId399" Type="http://schemas.openxmlformats.org/officeDocument/2006/relationships/hyperlink" Target="https://en.wikipedia.org/wiki/Treaty_of_Kiel" TargetMode="External"/><Relationship Id="rId259" Type="http://schemas.openxmlformats.org/officeDocument/2006/relationships/hyperlink" Target="https://en.wikipedia.org/wiki/Russian_Soviet_Federative_Socialist_Republic" TargetMode="External"/><Relationship Id="rId424" Type="http://schemas.openxmlformats.org/officeDocument/2006/relationships/hyperlink" Target="https://en.wikipedia.org/wiki/British_New_Guinea" TargetMode="External"/><Relationship Id="rId466" Type="http://schemas.openxmlformats.org/officeDocument/2006/relationships/hyperlink" Target="https://en.wikipedia.org/wiki/Peru" TargetMode="External"/><Relationship Id="rId23" Type="http://schemas.openxmlformats.org/officeDocument/2006/relationships/hyperlink" Target="https://en.wikipedia.org/wiki/Ubangi-Shari" TargetMode="External"/><Relationship Id="rId119" Type="http://schemas.openxmlformats.org/officeDocument/2006/relationships/hyperlink" Target="https://en.wikipedia.org/wiki/Rwanda" TargetMode="External"/><Relationship Id="rId270" Type="http://schemas.openxmlformats.org/officeDocument/2006/relationships/hyperlink" Target="https://en.wikipedia.org/wiki/First_Czechoslovak_Republic" TargetMode="External"/><Relationship Id="rId326" Type="http://schemas.openxmlformats.org/officeDocument/2006/relationships/hyperlink" Target="https://en.wikipedia.org/wiki/Trinidad_and_Tobago" TargetMode="External"/><Relationship Id="rId65" Type="http://schemas.openxmlformats.org/officeDocument/2006/relationships/hyperlink" Target="https://en.wikipedia.org/wiki/Spanish_Guinea" TargetMode="External"/><Relationship Id="rId130" Type="http://schemas.openxmlformats.org/officeDocument/2006/relationships/hyperlink" Target="https://en.wikipedia.org/wiki/Sultanate_of_Egypt" TargetMode="External"/><Relationship Id="rId368" Type="http://schemas.openxmlformats.org/officeDocument/2006/relationships/hyperlink" Target="https://en.wikipedia.org/wiki/Dutch_Republic" TargetMode="External"/><Relationship Id="rId172" Type="http://schemas.openxmlformats.org/officeDocument/2006/relationships/hyperlink" Target="https://en.wikipedia.org/wiki/First_Saudi_state" TargetMode="External"/><Relationship Id="rId228" Type="http://schemas.openxmlformats.org/officeDocument/2006/relationships/hyperlink" Target="https://en.wikipedia.org/wiki/Post-Angkor_period" TargetMode="External"/><Relationship Id="rId435" Type="http://schemas.openxmlformats.org/officeDocument/2006/relationships/hyperlink" Target="https://en.wikipedia.org/wiki/Territory_of_Western_Samoa" TargetMode="External"/><Relationship Id="rId477" Type="http://schemas.openxmlformats.org/officeDocument/2006/relationships/hyperlink" Target="https://en.wikipedia.org/wiki/Togoland" TargetMode="External"/><Relationship Id="rId281" Type="http://schemas.openxmlformats.org/officeDocument/2006/relationships/hyperlink" Target="https://en.wikipedia.org/wiki/Albania" TargetMode="External"/><Relationship Id="rId337" Type="http://schemas.openxmlformats.org/officeDocument/2006/relationships/hyperlink" Target="https://en.wikipedia.org/wiki/Antigua" TargetMode="External"/><Relationship Id="rId34" Type="http://schemas.openxmlformats.org/officeDocument/2006/relationships/hyperlink" Target="https://en.wikipedia.org/wiki/Gambia_Colony_and_Protectorate" TargetMode="External"/><Relationship Id="rId76" Type="http://schemas.openxmlformats.org/officeDocument/2006/relationships/hyperlink" Target="https://en.wikipedia.org/wiki/French_Cameroon" TargetMode="External"/><Relationship Id="rId141" Type="http://schemas.openxmlformats.org/officeDocument/2006/relationships/hyperlink" Target="https://en.wikipedia.org/wiki/Algeria" TargetMode="External"/><Relationship Id="rId379" Type="http://schemas.openxmlformats.org/officeDocument/2006/relationships/hyperlink" Target="https://en.wikipedia.org/wiki/Germany" TargetMode="External"/><Relationship Id="rId7" Type="http://schemas.openxmlformats.org/officeDocument/2006/relationships/hyperlink" Target="https://en.wikipedia.org/wiki/Eritrea" TargetMode="External"/><Relationship Id="rId183" Type="http://schemas.openxmlformats.org/officeDocument/2006/relationships/hyperlink" Target="https://en.wikipedia.org/wiki/Trucial_States" TargetMode="External"/><Relationship Id="rId239" Type="http://schemas.openxmlformats.org/officeDocument/2006/relationships/hyperlink" Target="https://en.wikipedia.org/wiki/Taiwan" TargetMode="External"/><Relationship Id="rId390" Type="http://schemas.openxmlformats.org/officeDocument/2006/relationships/hyperlink" Target="https://en.wikipedia.org/wiki/Norway" TargetMode="External"/><Relationship Id="rId404" Type="http://schemas.openxmlformats.org/officeDocument/2006/relationships/hyperlink" Target="https://en.wikipedia.org/wiki/El_Salvador" TargetMode="External"/><Relationship Id="rId446" Type="http://schemas.openxmlformats.org/officeDocument/2006/relationships/hyperlink" Target="https://en.wikipedia.org/wiki/Cook_Islands" TargetMode="External"/><Relationship Id="rId250" Type="http://schemas.openxmlformats.org/officeDocument/2006/relationships/hyperlink" Target="https://en.wikipedia.org/wiki/Turkmenistan" TargetMode="External"/><Relationship Id="rId292" Type="http://schemas.openxmlformats.org/officeDocument/2006/relationships/hyperlink" Target="https://en.wikipedia.org/wiki/Slovenia" TargetMode="External"/><Relationship Id="rId306" Type="http://schemas.openxmlformats.org/officeDocument/2006/relationships/hyperlink" Target="https://en.wikipedia.org/wiki/French_occupation_of_Malta" TargetMode="External"/><Relationship Id="rId45" Type="http://schemas.openxmlformats.org/officeDocument/2006/relationships/hyperlink" Target="https://en.wikipedia.org/wiki/Togo" TargetMode="External"/><Relationship Id="rId87" Type="http://schemas.openxmlformats.org/officeDocument/2006/relationships/hyperlink" Target="https://en.wikipedia.org/wiki/Lesotho" TargetMode="External"/><Relationship Id="rId110" Type="http://schemas.openxmlformats.org/officeDocument/2006/relationships/hyperlink" Target="https://en.wikipedia.org/wiki/Madagascar" TargetMode="External"/><Relationship Id="rId348" Type="http://schemas.openxmlformats.org/officeDocument/2006/relationships/hyperlink" Target="https://en.wikipedia.org/wiki/Haiti" TargetMode="External"/><Relationship Id="rId152" Type="http://schemas.openxmlformats.org/officeDocument/2006/relationships/hyperlink" Target="https://en.wikipedia.org/wiki/Saint_Pierre_and_Miquelon" TargetMode="External"/><Relationship Id="rId194" Type="http://schemas.openxmlformats.org/officeDocument/2006/relationships/hyperlink" Target="https://en.wikipedia.org/wiki/Afghanistan" TargetMode="External"/><Relationship Id="rId208" Type="http://schemas.openxmlformats.org/officeDocument/2006/relationships/hyperlink" Target="https://en.wikipedia.org/wiki/Myanmar" TargetMode="External"/><Relationship Id="rId415" Type="http://schemas.openxmlformats.org/officeDocument/2006/relationships/hyperlink" Target="https://en.wikipedia.org/wiki/Colony_of_New_South_Wales" TargetMode="External"/><Relationship Id="rId457" Type="http://schemas.openxmlformats.org/officeDocument/2006/relationships/hyperlink" Target="https://en.wikipedia.org/wiki/Uruguay" TargetMode="External"/><Relationship Id="rId261" Type="http://schemas.openxmlformats.org/officeDocument/2006/relationships/hyperlink" Target="https://en.wikipedia.org/wiki/Estonia" TargetMode="External"/><Relationship Id="rId14" Type="http://schemas.openxmlformats.org/officeDocument/2006/relationships/hyperlink" Target="https://en.wikipedia.org/wiki/Republic_of_the_Congo" TargetMode="External"/><Relationship Id="rId56" Type="http://schemas.openxmlformats.org/officeDocument/2006/relationships/hyperlink" Target="https://en.wikipedia.org/wiki/Benin" TargetMode="External"/><Relationship Id="rId317" Type="http://schemas.openxmlformats.org/officeDocument/2006/relationships/hyperlink" Target="https://en.wikipedia.org/wiki/Barbados" TargetMode="External"/><Relationship Id="rId359" Type="http://schemas.openxmlformats.org/officeDocument/2006/relationships/hyperlink" Target="https://en.wikipedia.org/wiki/Gran_Colombia" TargetMode="External"/><Relationship Id="rId98" Type="http://schemas.openxmlformats.org/officeDocument/2006/relationships/hyperlink" Target="https://en.wikipedia.org/wiki/Southern_Rhodesia" TargetMode="External"/><Relationship Id="rId121" Type="http://schemas.openxmlformats.org/officeDocument/2006/relationships/hyperlink" Target="https://en.wikipedia.org/wiki/Burundi" TargetMode="External"/><Relationship Id="rId163" Type="http://schemas.openxmlformats.org/officeDocument/2006/relationships/hyperlink" Target="https://en.wikipedia.org/wiki/Mamluk_Sultanate" TargetMode="External"/><Relationship Id="rId219" Type="http://schemas.openxmlformats.org/officeDocument/2006/relationships/hyperlink" Target="https://en.wikipedia.org/wiki/Dutch_East_Indies" TargetMode="External"/><Relationship Id="rId370" Type="http://schemas.openxmlformats.org/officeDocument/2006/relationships/hyperlink" Target="https://en.wikipedia.org/wiki/Denmark%E2%80%93Norway" TargetMode="External"/><Relationship Id="rId426" Type="http://schemas.openxmlformats.org/officeDocument/2006/relationships/hyperlink" Target="https://en.wikipedia.org/wiki/British_Solomon_Islands" TargetMode="External"/><Relationship Id="rId230" Type="http://schemas.openxmlformats.org/officeDocument/2006/relationships/hyperlink" Target="https://en.wikipedia.org/wiki/French_protectorate_of_Laos" TargetMode="External"/><Relationship Id="rId468" Type="http://schemas.openxmlformats.org/officeDocument/2006/relationships/hyperlink" Target="https://en.wikipedia.org/wiki/Ecuador" TargetMode="External"/><Relationship Id="rId25" Type="http://schemas.openxmlformats.org/officeDocument/2006/relationships/hyperlink" Target="https://en.wikipedia.org/wiki/French_Chad" TargetMode="External"/><Relationship Id="rId67" Type="http://schemas.openxmlformats.org/officeDocument/2006/relationships/hyperlink" Target="https://en.wikipedia.org/wiki/S%C3%A3o_Tom%C3%A9_and_Pr%C3%ADncipe" TargetMode="External"/><Relationship Id="rId272" Type="http://schemas.openxmlformats.org/officeDocument/2006/relationships/hyperlink" Target="https://en.wikipedia.org/wiki/Slovakia" TargetMode="External"/><Relationship Id="rId328" Type="http://schemas.openxmlformats.org/officeDocument/2006/relationships/hyperlink" Target="https://en.wikipedia.org/wiki/Saint_Vincent_and_the_Grenadines" TargetMode="External"/><Relationship Id="rId132" Type="http://schemas.openxmlformats.org/officeDocument/2006/relationships/hyperlink" Target="https://en.wikipedia.org/wiki/United_Arab_Republic" TargetMode="External"/><Relationship Id="rId174" Type="http://schemas.openxmlformats.org/officeDocument/2006/relationships/hyperlink" Target="https://en.wikipedia.org/wiki/Qasimid_State" TargetMode="External"/><Relationship Id="rId381" Type="http://schemas.openxmlformats.org/officeDocument/2006/relationships/hyperlink" Target="https://en.wikipedia.org/wiki/German_Empire" TargetMode="External"/><Relationship Id="rId241" Type="http://schemas.openxmlformats.org/officeDocument/2006/relationships/hyperlink" Target="https://en.wikipedia.org/wiki/South_Korea" TargetMode="External"/><Relationship Id="rId437" Type="http://schemas.openxmlformats.org/officeDocument/2006/relationships/hyperlink" Target="https://en.wikipedia.org/wiki/Vanuatu" TargetMode="External"/><Relationship Id="rId479" Type="http://schemas.openxmlformats.org/officeDocument/2006/relationships/hyperlink" Target="https://en.wikipedia.org/wiki/Nyasaland" TargetMode="External"/><Relationship Id="rId36" Type="http://schemas.openxmlformats.org/officeDocument/2006/relationships/hyperlink" Target="https://en.wikipedia.org/wiki/Guinea" TargetMode="External"/><Relationship Id="rId283" Type="http://schemas.openxmlformats.org/officeDocument/2006/relationships/hyperlink" Target="https://en.wikipedia.org/wiki/Serbia" TargetMode="External"/><Relationship Id="rId339" Type="http://schemas.openxmlformats.org/officeDocument/2006/relationships/hyperlink" Target="https://en.wikipedia.org/wiki/Cayman_Islands" TargetMode="External"/><Relationship Id="rId78" Type="http://schemas.openxmlformats.org/officeDocument/2006/relationships/hyperlink" Target="https://en.wikipedia.org/wiki/British_Cameroons" TargetMode="External"/><Relationship Id="rId101" Type="http://schemas.openxmlformats.org/officeDocument/2006/relationships/hyperlink" Target="https://en.wikipedia.org/wiki/Tanzania" TargetMode="External"/><Relationship Id="rId143" Type="http://schemas.openxmlformats.org/officeDocument/2006/relationships/hyperlink" Target="https://en.wikipedia.org/wiki/Morocco" TargetMode="External"/><Relationship Id="rId185" Type="http://schemas.openxmlformats.org/officeDocument/2006/relationships/hyperlink" Target="https://en.wikipedia.org/wiki/Qatar" TargetMode="External"/><Relationship Id="rId350" Type="http://schemas.openxmlformats.org/officeDocument/2006/relationships/hyperlink" Target="https://en.wikipedia.org/wiki/Cuba" TargetMode="External"/><Relationship Id="rId406" Type="http://schemas.openxmlformats.org/officeDocument/2006/relationships/hyperlink" Target="https://en.wikipedia.org/wiki/New_Spain" TargetMode="External"/><Relationship Id="rId9" Type="http://schemas.openxmlformats.org/officeDocument/2006/relationships/hyperlink" Target="https://en.wikipedia.org/wiki/Eritrea_Province" TargetMode="External"/><Relationship Id="rId210" Type="http://schemas.openxmlformats.org/officeDocument/2006/relationships/hyperlink" Target="https://en.wikipedia.org/wiki/British_rule_in_Burma" TargetMode="External"/><Relationship Id="rId392" Type="http://schemas.openxmlformats.org/officeDocument/2006/relationships/hyperlink" Target="https://en.wikipedia.org/wiki/Republic_of_Ireland" TargetMode="External"/><Relationship Id="rId448" Type="http://schemas.openxmlformats.org/officeDocument/2006/relationships/hyperlink" Target="https://en.wikipedia.org/wiki/Trust_Territory_of_the_Pacific_Islands" TargetMode="External"/><Relationship Id="rId252" Type="http://schemas.openxmlformats.org/officeDocument/2006/relationships/hyperlink" Target="https://en.wikipedia.org/wiki/Azerbaijan" TargetMode="External"/><Relationship Id="rId294" Type="http://schemas.openxmlformats.org/officeDocument/2006/relationships/hyperlink" Target="https://en.wikipedia.org/wiki/First_Austrian_Republic" TargetMode="External"/><Relationship Id="rId308" Type="http://schemas.openxmlformats.org/officeDocument/2006/relationships/hyperlink" Target="https://en.wikipedia.org/wiki/Monaco" TargetMode="External"/><Relationship Id="rId47" Type="http://schemas.openxmlformats.org/officeDocument/2006/relationships/hyperlink" Target="https://en.wikipedia.org/wiki/French_Togoland" TargetMode="External"/><Relationship Id="rId89" Type="http://schemas.openxmlformats.org/officeDocument/2006/relationships/hyperlink" Target="https://en.wikipedia.org/wiki/Union_of_South_Africa" TargetMode="External"/><Relationship Id="rId112" Type="http://schemas.openxmlformats.org/officeDocument/2006/relationships/hyperlink" Target="https://en.wikipedia.org/wiki/Merina_Kingdom" TargetMode="External"/><Relationship Id="rId154" Type="http://schemas.openxmlformats.org/officeDocument/2006/relationships/hyperlink" Target="https://en.wikipedia.org/wiki/Turkey" TargetMode="External"/><Relationship Id="rId361" Type="http://schemas.openxmlformats.org/officeDocument/2006/relationships/hyperlink" Target="https://en.wikipedia.org/wiki/Federal_Republic_of_Central_America" TargetMode="External"/><Relationship Id="rId196" Type="http://schemas.openxmlformats.org/officeDocument/2006/relationships/hyperlink" Target="https://en.wikipedia.org/wiki/British_Raj" TargetMode="External"/><Relationship Id="rId417" Type="http://schemas.openxmlformats.org/officeDocument/2006/relationships/hyperlink" Target="https://en.wikipedia.org/wiki/Colony_of_New_Zealand" TargetMode="External"/><Relationship Id="rId459" Type="http://schemas.openxmlformats.org/officeDocument/2006/relationships/hyperlink" Target="https://en.wikipedia.org/wiki/United_Provinces_of_the_R%C3%ADo_de_la_Plata" TargetMode="External"/><Relationship Id="rId16" Type="http://schemas.openxmlformats.org/officeDocument/2006/relationships/hyperlink" Target="https://en.wikipedia.org/wiki/History_of_the_Republic_of_the_Congo" TargetMode="External"/><Relationship Id="rId221" Type="http://schemas.openxmlformats.org/officeDocument/2006/relationships/hyperlink" Target="https://en.wikipedia.org/wiki/Timor-Leste" TargetMode="External"/><Relationship Id="rId263" Type="http://schemas.openxmlformats.org/officeDocument/2006/relationships/hyperlink" Target="https://en.wikipedia.org/wiki/Latvia" TargetMode="External"/><Relationship Id="rId319" Type="http://schemas.openxmlformats.org/officeDocument/2006/relationships/hyperlink" Target="https://en.wikipedia.org/wiki/Aruba" TargetMode="External"/><Relationship Id="rId470" Type="http://schemas.openxmlformats.org/officeDocument/2006/relationships/hyperlink" Target="https://en.wikipedia.org/wiki/Guyana" TargetMode="External"/><Relationship Id="rId58" Type="http://schemas.openxmlformats.org/officeDocument/2006/relationships/hyperlink" Target="https://en.wikipedia.org/wiki/Gold_Coast_(British_colony)" TargetMode="External"/><Relationship Id="rId123" Type="http://schemas.openxmlformats.org/officeDocument/2006/relationships/hyperlink" Target="https://en.wikipedia.org/wiki/Kenya_Colony" TargetMode="External"/><Relationship Id="rId330" Type="http://schemas.openxmlformats.org/officeDocument/2006/relationships/hyperlink" Target="https://en.wikipedia.org/wiki/Guadeloupe" TargetMode="External"/><Relationship Id="rId165" Type="http://schemas.openxmlformats.org/officeDocument/2006/relationships/hyperlink" Target="https://en.wikipedia.org/wiki/Regency_of_Algiers" TargetMode="External"/><Relationship Id="rId372" Type="http://schemas.openxmlformats.org/officeDocument/2006/relationships/hyperlink" Target="https://en.wikipedia.org/wiki/Kingdom_of_Bavaria" TargetMode="External"/><Relationship Id="rId428" Type="http://schemas.openxmlformats.org/officeDocument/2006/relationships/hyperlink" Target="https://en.wikipedia.org/wiki/Tuvalu" TargetMode="External"/><Relationship Id="rId232" Type="http://schemas.openxmlformats.org/officeDocument/2006/relationships/hyperlink" Target="https://en.wikipedia.org/wiki/Nguy%E1%BB%85n_dynasty" TargetMode="External"/><Relationship Id="rId274" Type="http://schemas.openxmlformats.org/officeDocument/2006/relationships/hyperlink" Target="https://en.wikipedia.org/wiki/Romania" TargetMode="External"/><Relationship Id="rId481" Type="http://schemas.openxmlformats.org/officeDocument/2006/relationships/hyperlink" Target="https://en.wikipedia.org/wiki/Spanish_Sahara" TargetMode="External"/><Relationship Id="rId27" Type="http://schemas.openxmlformats.org/officeDocument/2006/relationships/hyperlink" Target="https://en.wikipedia.org/wiki/Portuguese_Cape_Verde" TargetMode="External"/><Relationship Id="rId69" Type="http://schemas.openxmlformats.org/officeDocument/2006/relationships/hyperlink" Target="https://en.wikipedia.org/wiki/Seychelles" TargetMode="External"/><Relationship Id="rId134" Type="http://schemas.openxmlformats.org/officeDocument/2006/relationships/hyperlink" Target="https://en.wikipedia.org/wiki/Italian_Tripolitania" TargetMode="External"/><Relationship Id="rId80" Type="http://schemas.openxmlformats.org/officeDocument/2006/relationships/hyperlink" Target="https://en.wikipedia.org/wiki/German_South_West_Africa" TargetMode="External"/><Relationship Id="rId176" Type="http://schemas.openxmlformats.org/officeDocument/2006/relationships/hyperlink" Target="https://en.wikipedia.org/wiki/Kingdom_of_Yemen" TargetMode="External"/><Relationship Id="rId341" Type="http://schemas.openxmlformats.org/officeDocument/2006/relationships/hyperlink" Target="https://en.wikipedia.org/wiki/Anguilla" TargetMode="External"/><Relationship Id="rId383" Type="http://schemas.openxmlformats.org/officeDocument/2006/relationships/hyperlink" Target="https://en.wikipedia.org/wiki/Allied-occupied_Germany" TargetMode="External"/><Relationship Id="rId439" Type="http://schemas.openxmlformats.org/officeDocument/2006/relationships/hyperlink" Target="https://en.wikipedia.org/wiki/Nauru" TargetMode="External"/><Relationship Id="rId201" Type="http://schemas.openxmlformats.org/officeDocument/2006/relationships/hyperlink" Target="https://en.wikipedia.org/wiki/Sri_Lanka" TargetMode="External"/><Relationship Id="rId243" Type="http://schemas.openxmlformats.org/officeDocument/2006/relationships/hyperlink" Target="https://en.wikipedia.org/wiki/North_Korea" TargetMode="External"/><Relationship Id="rId285" Type="http://schemas.openxmlformats.org/officeDocument/2006/relationships/hyperlink" Target="https://en.wikipedia.org/wiki/Kingdom_of_Serbia" TargetMode="External"/><Relationship Id="rId450" Type="http://schemas.openxmlformats.org/officeDocument/2006/relationships/hyperlink" Target="https://en.wikipedia.org/wiki/Northern_Mariana_Islands" TargetMode="External"/><Relationship Id="rId38" Type="http://schemas.openxmlformats.org/officeDocument/2006/relationships/hyperlink" Target="https://en.wikipedia.org/wiki/Portuguese_Guinea" TargetMode="External"/><Relationship Id="rId103" Type="http://schemas.openxmlformats.org/officeDocument/2006/relationships/hyperlink" Target="https://en.wikipedia.org/wiki/Tanganyika_Territory" TargetMode="External"/><Relationship Id="rId310" Type="http://schemas.openxmlformats.org/officeDocument/2006/relationships/hyperlink" Target="https://en.wikipedia.org/wiki/Azores" TargetMode="External"/><Relationship Id="rId91" Type="http://schemas.openxmlformats.org/officeDocument/2006/relationships/hyperlink" Target="https://en.wikipedia.org/wiki/Orange_River_Colony" TargetMode="External"/><Relationship Id="rId145" Type="http://schemas.openxmlformats.org/officeDocument/2006/relationships/hyperlink" Target="https://en.wikipedia.org/wiki/Spanish_protectorate_in_Morocco" TargetMode="External"/><Relationship Id="rId187" Type="http://schemas.openxmlformats.org/officeDocument/2006/relationships/hyperlink" Target="https://en.wikipedia.org/wiki/Bani_Khalid_Emirate" TargetMode="External"/><Relationship Id="rId352" Type="http://schemas.openxmlformats.org/officeDocument/2006/relationships/hyperlink" Target="https://en.wikipedia.org/wiki/Military_Government_of_Cuba" TargetMode="External"/><Relationship Id="rId394" Type="http://schemas.openxmlformats.org/officeDocument/2006/relationships/hyperlink" Target="https://en.wikipedia.org/wiki/Kingdom_of_Ireland" TargetMode="External"/><Relationship Id="rId408" Type="http://schemas.openxmlformats.org/officeDocument/2006/relationships/hyperlink" Target="https://en.wikipedia.org/wiki/Puerto_Rico" TargetMode="External"/><Relationship Id="rId212" Type="http://schemas.openxmlformats.org/officeDocument/2006/relationships/hyperlink" Target="https://en.wikipedia.org/wiki/Malaysia" TargetMode="External"/><Relationship Id="rId254" Type="http://schemas.openxmlformats.org/officeDocument/2006/relationships/hyperlink" Target="https://en.wikipedia.org/wiki/Georgia_(country)" TargetMode="External"/><Relationship Id="rId49" Type="http://schemas.openxmlformats.org/officeDocument/2006/relationships/hyperlink" Target="https://en.wikipedia.org/wiki/Mali" TargetMode="External"/><Relationship Id="rId114" Type="http://schemas.openxmlformats.org/officeDocument/2006/relationships/hyperlink" Target="https://en.wikipedia.org/wiki/History_of_the_Comoros" TargetMode="External"/><Relationship Id="rId296" Type="http://schemas.openxmlformats.org/officeDocument/2006/relationships/hyperlink" Target="https://en.wikipedia.org/wiki/Austrian_Empire" TargetMode="External"/><Relationship Id="rId461" Type="http://schemas.openxmlformats.org/officeDocument/2006/relationships/hyperlink" Target="https://en.wikipedia.org/wiki/Paraguay" TargetMode="External"/><Relationship Id="rId60" Type="http://schemas.openxmlformats.org/officeDocument/2006/relationships/hyperlink" Target="https://en.wikipedia.org/wiki/Northern_Nigeria_Protectorate" TargetMode="External"/><Relationship Id="rId156" Type="http://schemas.openxmlformats.org/officeDocument/2006/relationships/hyperlink" Target="https://en.wikipedia.org/wiki/Cyprus" TargetMode="External"/><Relationship Id="rId198" Type="http://schemas.openxmlformats.org/officeDocument/2006/relationships/hyperlink" Target="https://en.wikipedia.org/wiki/Company_rule_in_India" TargetMode="External"/><Relationship Id="rId321" Type="http://schemas.openxmlformats.org/officeDocument/2006/relationships/hyperlink" Target="https://en.wikipedia.org/wiki/Netherlands_Antilles" TargetMode="External"/><Relationship Id="rId363" Type="http://schemas.openxmlformats.org/officeDocument/2006/relationships/hyperlink" Target="https://en.wikipedia.org/wiki/Luxembourg" TargetMode="External"/><Relationship Id="rId419" Type="http://schemas.openxmlformats.org/officeDocument/2006/relationships/hyperlink" Target="https://en.wikipedia.org/wiki/Papua_New_Guinea" TargetMode="External"/><Relationship Id="rId223" Type="http://schemas.openxmlformats.org/officeDocument/2006/relationships/hyperlink" Target="https://en.wikipedia.org/wiki/Brunei" TargetMode="External"/><Relationship Id="rId430" Type="http://schemas.openxmlformats.org/officeDocument/2006/relationships/hyperlink" Target="https://en.wikipedia.org/wiki/Kingdom_of_Tonga_(1900%E2%80%931970)" TargetMode="External"/><Relationship Id="rId18" Type="http://schemas.openxmlformats.org/officeDocument/2006/relationships/hyperlink" Target="https://en.wikipedia.org/wiki/Gabon" TargetMode="External"/><Relationship Id="rId265" Type="http://schemas.openxmlformats.org/officeDocument/2006/relationships/hyperlink" Target="https://en.wikipedia.org/wiki/Lithuania" TargetMode="External"/><Relationship Id="rId472" Type="http://schemas.openxmlformats.org/officeDocument/2006/relationships/hyperlink" Target="https://en.wikipedia.org/wiki/Suriname" TargetMode="External"/><Relationship Id="rId125" Type="http://schemas.openxmlformats.org/officeDocument/2006/relationships/hyperlink" Target="https://en.wikipedia.org/wiki/Protectorate_of_Uganda" TargetMode="External"/><Relationship Id="rId167" Type="http://schemas.openxmlformats.org/officeDocument/2006/relationships/hyperlink" Target="https://en.wikipedia.org/wiki/Israel" TargetMode="External"/><Relationship Id="rId332" Type="http://schemas.openxmlformats.org/officeDocument/2006/relationships/hyperlink" Target="https://en.wikipedia.org/wiki/Martinique" TargetMode="External"/><Relationship Id="rId374" Type="http://schemas.openxmlformats.org/officeDocument/2006/relationships/hyperlink" Target="https://en.wikipedia.org/wiki/Kingdom_of_Hanover" TargetMode="External"/><Relationship Id="rId71" Type="http://schemas.openxmlformats.org/officeDocument/2006/relationships/hyperlink" Target="https://en.wikipedia.org/wiki/Seychelles" TargetMode="External"/><Relationship Id="rId234" Type="http://schemas.openxmlformats.org/officeDocument/2006/relationships/hyperlink" Target="https://en.wikipedia.org/wiki/North_Vietnam" TargetMode="External"/><Relationship Id="rId2" Type="http://schemas.openxmlformats.org/officeDocument/2006/relationships/hyperlink" Target="https://en.wikipedia.org/wiki/Djibouti" TargetMode="External"/><Relationship Id="rId29" Type="http://schemas.openxmlformats.org/officeDocument/2006/relationships/hyperlink" Target="https://en.wikipedia.org/wiki/Mauritania" TargetMode="External"/><Relationship Id="rId276" Type="http://schemas.openxmlformats.org/officeDocument/2006/relationships/hyperlink" Target="https://en.wikipedia.org/wiki/Moldova" TargetMode="External"/><Relationship Id="rId441" Type="http://schemas.openxmlformats.org/officeDocument/2006/relationships/hyperlink" Target="https://en.wikipedia.org/wiki/French_Polynesia" TargetMode="External"/><Relationship Id="rId40" Type="http://schemas.openxmlformats.org/officeDocument/2006/relationships/hyperlink" Target="https://en.wikipedia.org/wiki/Ivory_Coast" TargetMode="External"/><Relationship Id="rId136" Type="http://schemas.openxmlformats.org/officeDocument/2006/relationships/hyperlink" Target="https://en.wikipedia.org/wiki/Italian_Cyrenaica" TargetMode="External"/><Relationship Id="rId178" Type="http://schemas.openxmlformats.org/officeDocument/2006/relationships/hyperlink" Target="https://en.wikipedia.org/wiki/Aden_Protectorate" TargetMode="External"/><Relationship Id="rId301" Type="http://schemas.openxmlformats.org/officeDocument/2006/relationships/hyperlink" Target="https://en.wikipedia.org/wiki/Kingdom_of_the_Two_Sicilies" TargetMode="External"/><Relationship Id="rId343" Type="http://schemas.openxmlformats.org/officeDocument/2006/relationships/hyperlink" Target="https://en.wikipedia.org/wiki/Captaincy_General_of_Santo_Domingo" TargetMode="External"/><Relationship Id="rId82" Type="http://schemas.openxmlformats.org/officeDocument/2006/relationships/hyperlink" Target="https://en.wikipedia.org/wiki/Botswana" TargetMode="External"/><Relationship Id="rId203" Type="http://schemas.openxmlformats.org/officeDocument/2006/relationships/hyperlink" Target="https://en.wikipedia.org/wiki/Sultanate_of_the_Maldive_Islands" TargetMode="External"/><Relationship Id="rId385" Type="http://schemas.openxmlformats.org/officeDocument/2006/relationships/hyperlink" Target="https://en.wikipedia.org/wiki/Allied-occupied_Germany" TargetMode="External"/><Relationship Id="rId245" Type="http://schemas.openxmlformats.org/officeDocument/2006/relationships/hyperlink" Target="https://en.wikipedia.org/wiki/Mongolia" TargetMode="External"/><Relationship Id="rId287" Type="http://schemas.openxmlformats.org/officeDocument/2006/relationships/hyperlink" Target="https://en.wikipedia.org/wiki/Kosovo" TargetMode="External"/><Relationship Id="rId410" Type="http://schemas.openxmlformats.org/officeDocument/2006/relationships/hyperlink" Target="https://en.wikipedia.org/wiki/United_States_Virgin_Islands" TargetMode="External"/><Relationship Id="rId452" Type="http://schemas.openxmlformats.org/officeDocument/2006/relationships/hyperlink" Target="https://en.wikipedia.org/wiki/Federated_States_of_Micronesia" TargetMode="External"/><Relationship Id="rId105" Type="http://schemas.openxmlformats.org/officeDocument/2006/relationships/hyperlink" Target="https://en.wikipedia.org/wiki/Tanganyika_(1961%E2%80%931964)" TargetMode="External"/><Relationship Id="rId147" Type="http://schemas.openxmlformats.org/officeDocument/2006/relationships/hyperlink" Target="https://en.wikipedia.org/wiki/Colony_of_Singapore" TargetMode="External"/><Relationship Id="rId312" Type="http://schemas.openxmlformats.org/officeDocument/2006/relationships/hyperlink" Target="https://en.wikipedia.org/wiki/Spain" TargetMode="External"/><Relationship Id="rId354" Type="http://schemas.openxmlformats.org/officeDocument/2006/relationships/hyperlink" Target="https://en.wikipedia.org/wiki/Jamaica" TargetMode="External"/><Relationship Id="rId51" Type="http://schemas.openxmlformats.org/officeDocument/2006/relationships/hyperlink" Target="https://en.wikipedia.org/wiki/French_Sudan" TargetMode="External"/><Relationship Id="rId93" Type="http://schemas.openxmlformats.org/officeDocument/2006/relationships/hyperlink" Target="https://en.wikipedia.org/wiki/Federation_of_Rhodesia_and_Nyasaland" TargetMode="External"/><Relationship Id="rId189" Type="http://schemas.openxmlformats.org/officeDocument/2006/relationships/hyperlink" Target="https://en.wikipedia.org/wiki/Bahrain_and_its_Dependencies" TargetMode="External"/><Relationship Id="rId396" Type="http://schemas.openxmlformats.org/officeDocument/2006/relationships/hyperlink" Target="https://en.wikipedia.org/wiki/Kingdom_of_Great_Britain" TargetMode="External"/><Relationship Id="rId3" Type="http://schemas.openxmlformats.org/officeDocument/2006/relationships/hyperlink" Target="https://en.wikipedia.org/wiki/Italian_Eritrea" TargetMode="External"/><Relationship Id="rId214" Type="http://schemas.openxmlformats.org/officeDocument/2006/relationships/hyperlink" Target="https://en.wikipedia.org/wiki/Raj_of_Sarawak" TargetMode="External"/><Relationship Id="rId235" Type="http://schemas.openxmlformats.org/officeDocument/2006/relationships/hyperlink" Target="https://en.wikipedia.org/wiki/South_Vietnam" TargetMode="External"/><Relationship Id="rId256" Type="http://schemas.openxmlformats.org/officeDocument/2006/relationships/hyperlink" Target="https://en.wikipedia.org/wiki/Russian_Empire" TargetMode="External"/><Relationship Id="rId277" Type="http://schemas.openxmlformats.org/officeDocument/2006/relationships/hyperlink" Target="https://en.wikipedia.org/wiki/Bulgaria" TargetMode="External"/><Relationship Id="rId298" Type="http://schemas.openxmlformats.org/officeDocument/2006/relationships/hyperlink" Target="https://en.wikipedia.org/wiki/Italy" TargetMode="External"/><Relationship Id="rId400" Type="http://schemas.openxmlformats.org/officeDocument/2006/relationships/hyperlink" Target="https://en.wikipedia.org/wiki/Honduras" TargetMode="External"/><Relationship Id="rId421" Type="http://schemas.openxmlformats.org/officeDocument/2006/relationships/hyperlink" Target="https://en.wikipedia.org/wiki/Territory_of_New_Guinea" TargetMode="External"/><Relationship Id="rId442" Type="http://schemas.openxmlformats.org/officeDocument/2006/relationships/hyperlink" Target="https://en.wikipedia.org/wiki/Kiribati" TargetMode="External"/><Relationship Id="rId463" Type="http://schemas.openxmlformats.org/officeDocument/2006/relationships/hyperlink" Target="https://en.wikipedia.org/wiki/Falkland_Islands" TargetMode="External"/><Relationship Id="rId116" Type="http://schemas.openxmlformats.org/officeDocument/2006/relationships/hyperlink" Target="https://en.wikipedia.org/wiki/Isle_de_France_(Mauritius)" TargetMode="External"/><Relationship Id="rId137" Type="http://schemas.openxmlformats.org/officeDocument/2006/relationships/hyperlink" Target="https://en.wikipedia.org/wiki/British_Military_Administration_(Libya)" TargetMode="External"/><Relationship Id="rId158" Type="http://schemas.openxmlformats.org/officeDocument/2006/relationships/hyperlink" Target="https://en.wikipedia.org/wiki/British_Cyprus" TargetMode="External"/><Relationship Id="rId302" Type="http://schemas.openxmlformats.org/officeDocument/2006/relationships/hyperlink" Target="https://en.wikipedia.org/wiki/San_Marino" TargetMode="External"/><Relationship Id="rId323" Type="http://schemas.openxmlformats.org/officeDocument/2006/relationships/hyperlink" Target="https://en.wikipedia.org/wiki/Cura%C3%A7ao" TargetMode="External"/><Relationship Id="rId344" Type="http://schemas.openxmlformats.org/officeDocument/2006/relationships/hyperlink" Target="https://en.wikipedia.org/wiki/Era_de_Francia" TargetMode="External"/><Relationship Id="rId20" Type="http://schemas.openxmlformats.org/officeDocument/2006/relationships/hyperlink" Target="https://en.wikipedia.org/wiki/Gabon" TargetMode="External"/><Relationship Id="rId41" Type="http://schemas.openxmlformats.org/officeDocument/2006/relationships/hyperlink" Target="https://en.wikipedia.org/wiki/Liberia" TargetMode="External"/><Relationship Id="rId62" Type="http://schemas.openxmlformats.org/officeDocument/2006/relationships/hyperlink" Target="https://en.wikipedia.org/wiki/Colonial_Nigeria" TargetMode="External"/><Relationship Id="rId83" Type="http://schemas.openxmlformats.org/officeDocument/2006/relationships/hyperlink" Target="https://en.wikipedia.org/wiki/Cape_Colony" TargetMode="External"/><Relationship Id="rId179" Type="http://schemas.openxmlformats.org/officeDocument/2006/relationships/hyperlink" Target="https://en.wikipedia.org/wiki/Oman" TargetMode="External"/><Relationship Id="rId365" Type="http://schemas.openxmlformats.org/officeDocument/2006/relationships/hyperlink" Target="https://en.wikipedia.org/wiki/Captaincy_General_of_Guatemala" TargetMode="External"/><Relationship Id="rId386" Type="http://schemas.openxmlformats.org/officeDocument/2006/relationships/hyperlink" Target="https://en.wikipedia.org/wiki/Allied-occupied_Germany" TargetMode="External"/><Relationship Id="rId190" Type="http://schemas.openxmlformats.org/officeDocument/2006/relationships/hyperlink" Target="https://en.wikipedia.org/wiki/Iraq" TargetMode="External"/><Relationship Id="rId204" Type="http://schemas.openxmlformats.org/officeDocument/2006/relationships/hyperlink" Target="https://en.wikipedia.org/wiki/Sultanate_of_the_Maldive_Islands" TargetMode="External"/><Relationship Id="rId225" Type="http://schemas.openxmlformats.org/officeDocument/2006/relationships/hyperlink" Target="https://en.wikipedia.org/wiki/Protectorate_Agreement_of_Brunei_(1888)" TargetMode="External"/><Relationship Id="rId246" Type="http://schemas.openxmlformats.org/officeDocument/2006/relationships/hyperlink" Target="https://en.wikipedia.org/wiki/Mongolia_under_Qing_rule" TargetMode="External"/><Relationship Id="rId267" Type="http://schemas.openxmlformats.org/officeDocument/2006/relationships/hyperlink" Target="https://en.wikipedia.org/wiki/Poland" TargetMode="External"/><Relationship Id="rId288" Type="http://schemas.openxmlformats.org/officeDocument/2006/relationships/hyperlink" Target="https://en.wikipedia.org/wiki/Serbia_and_Montenegro" TargetMode="External"/><Relationship Id="rId411" Type="http://schemas.openxmlformats.org/officeDocument/2006/relationships/hyperlink" Target="https://en.wikipedia.org/wiki/United_States" TargetMode="External"/><Relationship Id="rId432" Type="http://schemas.openxmlformats.org/officeDocument/2006/relationships/hyperlink" Target="https://en.wikipedia.org/wiki/Colony_of_Fiji" TargetMode="External"/><Relationship Id="rId453" Type="http://schemas.openxmlformats.org/officeDocument/2006/relationships/hyperlink" Target="https://en.wikipedia.org/wiki/Palau" TargetMode="External"/><Relationship Id="rId474" Type="http://schemas.openxmlformats.org/officeDocument/2006/relationships/hyperlink" Target="https://en.wikipedia.org/wiki/Surinam_(Dutch_colony)" TargetMode="External"/><Relationship Id="rId106" Type="http://schemas.openxmlformats.org/officeDocument/2006/relationships/hyperlink" Target="https://en.wikipedia.org/wiki/German_East_Africa" TargetMode="External"/><Relationship Id="rId127" Type="http://schemas.openxmlformats.org/officeDocument/2006/relationships/hyperlink" Target="https://en.wikipedia.org/wiki/South_Sudan" TargetMode="External"/><Relationship Id="rId313" Type="http://schemas.openxmlformats.org/officeDocument/2006/relationships/hyperlink" Target="https://en.wikipedia.org/wiki/Andorra" TargetMode="External"/><Relationship Id="rId10" Type="http://schemas.openxmlformats.org/officeDocument/2006/relationships/hyperlink" Target="https://en.wikipedia.org/wiki/British_Military_Administration_(Somaliland)" TargetMode="External"/><Relationship Id="rId31" Type="http://schemas.openxmlformats.org/officeDocument/2006/relationships/hyperlink" Target="https://en.wikipedia.org/wiki/Senegal" TargetMode="External"/><Relationship Id="rId52" Type="http://schemas.openxmlformats.org/officeDocument/2006/relationships/hyperlink" Target="https://en.wikipedia.org/wiki/Burkina_Faso" TargetMode="External"/><Relationship Id="rId73" Type="http://schemas.openxmlformats.org/officeDocument/2006/relationships/hyperlink" Target="https://en.wikipedia.org/wiki/Portuguese_Angola" TargetMode="External"/><Relationship Id="rId94" Type="http://schemas.openxmlformats.org/officeDocument/2006/relationships/hyperlink" Target="https://en.wikipedia.org/wiki/Northern_Rhodesia" TargetMode="External"/><Relationship Id="rId148" Type="http://schemas.openxmlformats.org/officeDocument/2006/relationships/hyperlink" Target="https://en.wikipedia.org/wiki/State_of_Singapore_(Malaysia)" TargetMode="External"/><Relationship Id="rId169" Type="http://schemas.openxmlformats.org/officeDocument/2006/relationships/hyperlink" Target="https://en.wikipedia.org/wiki/Jerusalem_Sanjak" TargetMode="External"/><Relationship Id="rId334" Type="http://schemas.openxmlformats.org/officeDocument/2006/relationships/hyperlink" Target="https://en.wikipedia.org/wiki/Saint_Christopher-Nevis-Anguilla" TargetMode="External"/><Relationship Id="rId355" Type="http://schemas.openxmlformats.org/officeDocument/2006/relationships/hyperlink" Target="https://en.wikipedia.org/wiki/Colony_of_Santiago" TargetMode="External"/><Relationship Id="rId376" Type="http://schemas.openxmlformats.org/officeDocument/2006/relationships/hyperlink" Target="https://en.wikipedia.org/wiki/Liechtenstein" TargetMode="External"/><Relationship Id="rId397" Type="http://schemas.openxmlformats.org/officeDocument/2006/relationships/hyperlink" Target="https://en.wikipedia.org/wiki/United_Kingdom_of_Great_Britain_and_Ireland" TargetMode="External"/><Relationship Id="rId4" Type="http://schemas.openxmlformats.org/officeDocument/2006/relationships/hyperlink" Target="https://en.wikipedia.org/wiki/Italian_East_Africa" TargetMode="External"/><Relationship Id="rId180" Type="http://schemas.openxmlformats.org/officeDocument/2006/relationships/hyperlink" Target="https://en.wikipedia.org/wiki/Omani_Empire" TargetMode="External"/><Relationship Id="rId215" Type="http://schemas.openxmlformats.org/officeDocument/2006/relationships/hyperlink" Target="https://en.wikipedia.org/wiki/North_Borneo" TargetMode="External"/><Relationship Id="rId236" Type="http://schemas.openxmlformats.org/officeDocument/2006/relationships/hyperlink" Target="https://en.wikipedia.org/wiki/Vietnam" TargetMode="External"/><Relationship Id="rId257" Type="http://schemas.openxmlformats.org/officeDocument/2006/relationships/hyperlink" Target="https://en.wikipedia.org/wiki/Commonwealth_of_Independent_States" TargetMode="External"/><Relationship Id="rId278" Type="http://schemas.openxmlformats.org/officeDocument/2006/relationships/hyperlink" Target="https://en.wikipedia.org/wiki/Principality_of_Bulgaria" TargetMode="External"/><Relationship Id="rId401" Type="http://schemas.openxmlformats.org/officeDocument/2006/relationships/hyperlink" Target="https://en.wikipedia.org/wiki/Guatemala" TargetMode="External"/><Relationship Id="rId422" Type="http://schemas.openxmlformats.org/officeDocument/2006/relationships/hyperlink" Target="https://en.wikipedia.org/wiki/German_New_Guinea" TargetMode="External"/><Relationship Id="rId443" Type="http://schemas.openxmlformats.org/officeDocument/2006/relationships/hyperlink" Target="https://en.wikipedia.org/wiki/New_Caledonia" TargetMode="External"/><Relationship Id="rId464" Type="http://schemas.openxmlformats.org/officeDocument/2006/relationships/hyperlink" Target="https://en.wikipedia.org/wiki/Bolivia" TargetMode="External"/><Relationship Id="rId303" Type="http://schemas.openxmlformats.org/officeDocument/2006/relationships/hyperlink" Target="https://en.wikipedia.org/wiki/Vatican_City" TargetMode="External"/><Relationship Id="rId42" Type="http://schemas.openxmlformats.org/officeDocument/2006/relationships/hyperlink" Target="https://en.wikipedia.org/wiki/History_of_Ivory_Coast" TargetMode="External"/><Relationship Id="rId84" Type="http://schemas.openxmlformats.org/officeDocument/2006/relationships/hyperlink" Target="https://en.wikipedia.org/wiki/Basutoland" TargetMode="External"/><Relationship Id="rId138" Type="http://schemas.openxmlformats.org/officeDocument/2006/relationships/hyperlink" Target="https://en.wikipedia.org/wiki/Fezzan-Ghadames_Military_Territory" TargetMode="External"/><Relationship Id="rId345" Type="http://schemas.openxmlformats.org/officeDocument/2006/relationships/hyperlink" Target="https://en.wikipedia.org/wiki/Espa%C3%B1a_Boba" TargetMode="External"/><Relationship Id="rId387" Type="http://schemas.openxmlformats.org/officeDocument/2006/relationships/hyperlink" Target="https://en.wikipedia.org/wiki/Finland" TargetMode="External"/><Relationship Id="rId191" Type="http://schemas.openxmlformats.org/officeDocument/2006/relationships/hyperlink" Target="https://en.wikipedia.org/wiki/Ottoman_Iraq" TargetMode="External"/><Relationship Id="rId205" Type="http://schemas.openxmlformats.org/officeDocument/2006/relationships/hyperlink" Target="https://en.wikipedia.org/wiki/Bangladesh" TargetMode="External"/><Relationship Id="rId247" Type="http://schemas.openxmlformats.org/officeDocument/2006/relationships/hyperlink" Target="https://en.wikipedia.org/wiki/Tajikistan" TargetMode="External"/><Relationship Id="rId412" Type="http://schemas.openxmlformats.org/officeDocument/2006/relationships/hyperlink" Target="https://en.wikipedia.org/wiki/Canada" TargetMode="External"/><Relationship Id="rId107" Type="http://schemas.openxmlformats.org/officeDocument/2006/relationships/hyperlink" Target="https://en.wikipedia.org/wiki/Sultanate_of_Zanzibar" TargetMode="External"/><Relationship Id="rId289" Type="http://schemas.openxmlformats.org/officeDocument/2006/relationships/hyperlink" Target="https://en.wikipedia.org/wiki/Montenegro" TargetMode="External"/><Relationship Id="rId454" Type="http://schemas.openxmlformats.org/officeDocument/2006/relationships/hyperlink" Target="https://en.wikipedia.org/wiki/Colonial_Brazil" TargetMode="External"/><Relationship Id="rId11" Type="http://schemas.openxmlformats.org/officeDocument/2006/relationships/hyperlink" Target="https://en.wikipedia.org/wiki/British_Somaliland" TargetMode="External"/><Relationship Id="rId53" Type="http://schemas.openxmlformats.org/officeDocument/2006/relationships/hyperlink" Target="https://en.wikipedia.org/wiki/Republic_of_Upper_Volta" TargetMode="External"/><Relationship Id="rId149" Type="http://schemas.openxmlformats.org/officeDocument/2006/relationships/hyperlink" Target="https://en.wikipedia.org/wiki/Straits_Settlements" TargetMode="External"/><Relationship Id="rId314" Type="http://schemas.openxmlformats.org/officeDocument/2006/relationships/hyperlink" Target="https://en.wikipedia.org/wiki/France" TargetMode="External"/><Relationship Id="rId356" Type="http://schemas.openxmlformats.org/officeDocument/2006/relationships/hyperlink" Target="https://en.wikipedia.org/wiki/Colony_of_Jamaica" TargetMode="External"/><Relationship Id="rId398" Type="http://schemas.openxmlformats.org/officeDocument/2006/relationships/hyperlink" Target="https://en.wikipedia.org/wiki/Iceland" TargetMode="External"/><Relationship Id="rId95" Type="http://schemas.openxmlformats.org/officeDocument/2006/relationships/hyperlink" Target="https://en.wikipedia.org/wiki/Northern_Rhodesia" TargetMode="External"/><Relationship Id="rId160" Type="http://schemas.openxmlformats.org/officeDocument/2006/relationships/hyperlink" Target="https://en.wikipedia.org/wiki/Second_Syrian_Republic" TargetMode="External"/><Relationship Id="rId216" Type="http://schemas.openxmlformats.org/officeDocument/2006/relationships/hyperlink" Target="https://en.wikipedia.org/wiki/Crown_Colony_of_Labuan" TargetMode="External"/><Relationship Id="rId423" Type="http://schemas.openxmlformats.org/officeDocument/2006/relationships/hyperlink" Target="https://en.wikipedia.org/wiki/Territory_of_Papua" TargetMode="External"/><Relationship Id="rId258" Type="http://schemas.openxmlformats.org/officeDocument/2006/relationships/hyperlink" Target="https://en.wikipedia.org/wiki/Soviet_Union" TargetMode="External"/><Relationship Id="rId465" Type="http://schemas.openxmlformats.org/officeDocument/2006/relationships/hyperlink" Target="https://en.wikipedia.org/wiki/Chile" TargetMode="External"/><Relationship Id="rId22" Type="http://schemas.openxmlformats.org/officeDocument/2006/relationships/hyperlink" Target="https://en.wikipedia.org/wiki/Chad" TargetMode="External"/><Relationship Id="rId64" Type="http://schemas.openxmlformats.org/officeDocument/2006/relationships/hyperlink" Target="https://en.wikipedia.org/wiki/Equatorial_Guinea" TargetMode="External"/><Relationship Id="rId118" Type="http://schemas.openxmlformats.org/officeDocument/2006/relationships/hyperlink" Target="https://en.wikipedia.org/wiki/Malawi" TargetMode="External"/><Relationship Id="rId325" Type="http://schemas.openxmlformats.org/officeDocument/2006/relationships/hyperlink" Target="https://en.wikipedia.org/wiki/History_of_Trinidad_and_Tobago" TargetMode="External"/><Relationship Id="rId367" Type="http://schemas.openxmlformats.org/officeDocument/2006/relationships/hyperlink" Target="https://en.wikipedia.org/wiki/Netherlands" TargetMode="External"/><Relationship Id="rId171" Type="http://schemas.openxmlformats.org/officeDocument/2006/relationships/hyperlink" Target="https://en.wikipedia.org/wiki/Emirate_of_Transjordan" TargetMode="External"/><Relationship Id="rId227" Type="http://schemas.openxmlformats.org/officeDocument/2006/relationships/hyperlink" Target="https://en.wikipedia.org/wiki/French_protectorate_of_Cambodia" TargetMode="External"/><Relationship Id="rId269" Type="http://schemas.openxmlformats.org/officeDocument/2006/relationships/hyperlink" Target="https://en.wikipedia.org/wiki/Czech_Republic" TargetMode="External"/><Relationship Id="rId434" Type="http://schemas.openxmlformats.org/officeDocument/2006/relationships/hyperlink" Target="https://en.wikipedia.org/wiki/German_Samoa" TargetMode="External"/><Relationship Id="rId476" Type="http://schemas.openxmlformats.org/officeDocument/2006/relationships/hyperlink" Target="https://en.wikipedia.org/wiki/Captaincy_General_of_Chile" TargetMode="External"/><Relationship Id="rId33" Type="http://schemas.openxmlformats.org/officeDocument/2006/relationships/hyperlink" Target="https://en.wikipedia.org/wiki/Senegal" TargetMode="External"/><Relationship Id="rId129" Type="http://schemas.openxmlformats.org/officeDocument/2006/relationships/hyperlink" Target="https://en.wikipedia.org/wiki/Muhammad_Ali_dynasty" TargetMode="External"/><Relationship Id="rId280" Type="http://schemas.openxmlformats.org/officeDocument/2006/relationships/hyperlink" Target="https://en.wikipedia.org/wiki/Greece" TargetMode="External"/><Relationship Id="rId336" Type="http://schemas.openxmlformats.org/officeDocument/2006/relationships/hyperlink" Target="https://en.wikipedia.org/wiki/Barbuda" TargetMode="External"/><Relationship Id="rId75" Type="http://schemas.openxmlformats.org/officeDocument/2006/relationships/hyperlink" Target="https://en.wikipedia.org/wiki/Cameroon" TargetMode="External"/><Relationship Id="rId140" Type="http://schemas.openxmlformats.org/officeDocument/2006/relationships/hyperlink" Target="https://en.wikipedia.org/wiki/French_protectorate_of_Tunisia" TargetMode="External"/><Relationship Id="rId182" Type="http://schemas.openxmlformats.org/officeDocument/2006/relationships/hyperlink" Target="https://en.wikipedia.org/wiki/United_Arab_Emirates" TargetMode="External"/><Relationship Id="rId378" Type="http://schemas.openxmlformats.org/officeDocument/2006/relationships/hyperlink" Target="https://en.wikipedia.org/wiki/Grand_Duchy_of_Baden" TargetMode="External"/><Relationship Id="rId403" Type="http://schemas.openxmlformats.org/officeDocument/2006/relationships/hyperlink" Target="https://en.wikipedia.org/wiki/British_Honduras" TargetMode="External"/><Relationship Id="rId6" Type="http://schemas.openxmlformats.org/officeDocument/2006/relationships/hyperlink" Target="https://en.wikipedia.org/wiki/Trust_Territory_of_Somaliland" TargetMode="External"/><Relationship Id="rId238" Type="http://schemas.openxmlformats.org/officeDocument/2006/relationships/hyperlink" Target="https://en.wikipedia.org/wiki/China" TargetMode="External"/><Relationship Id="rId445" Type="http://schemas.openxmlformats.org/officeDocument/2006/relationships/hyperlink" Target="https://en.wikipedia.org/wiki/Gilbert_and_Ellice_Islands" TargetMode="External"/><Relationship Id="rId291" Type="http://schemas.openxmlformats.org/officeDocument/2006/relationships/hyperlink" Target="https://en.wikipedia.org/wiki/Croatia" TargetMode="External"/><Relationship Id="rId305" Type="http://schemas.openxmlformats.org/officeDocument/2006/relationships/hyperlink" Target="https://en.wikipedia.org/wiki/Hospitaller_Malta" TargetMode="External"/><Relationship Id="rId347" Type="http://schemas.openxmlformats.org/officeDocument/2006/relationships/hyperlink" Target="https://en.wikipedia.org/wiki/Annexation_of_the_Dominican_Republic_to_Spain" TargetMode="External"/><Relationship Id="rId44" Type="http://schemas.openxmlformats.org/officeDocument/2006/relationships/hyperlink" Target="https://en.wikipedia.org/wiki/Ghana" TargetMode="External"/><Relationship Id="rId86" Type="http://schemas.openxmlformats.org/officeDocument/2006/relationships/hyperlink" Target="https://en.wikipedia.org/wiki/Eswatini" TargetMode="External"/><Relationship Id="rId151" Type="http://schemas.openxmlformats.org/officeDocument/2006/relationships/hyperlink" Target="https://en.wikipedia.org/wiki/R%C3%A9union" TargetMode="External"/><Relationship Id="rId389" Type="http://schemas.openxmlformats.org/officeDocument/2006/relationships/hyperlink" Target="https://en.wikipedia.org/wiki/Sweden" TargetMode="External"/><Relationship Id="rId193" Type="http://schemas.openxmlformats.org/officeDocument/2006/relationships/hyperlink" Target="https://en.wikipedia.org/wiki/Safavid_Iran" TargetMode="External"/><Relationship Id="rId207" Type="http://schemas.openxmlformats.org/officeDocument/2006/relationships/hyperlink" Target="https://en.wikipedia.org/wiki/Bhutan" TargetMode="External"/><Relationship Id="rId249" Type="http://schemas.openxmlformats.org/officeDocument/2006/relationships/hyperlink" Target="https://en.wikipedia.org/wiki/Uzbekistan" TargetMode="External"/><Relationship Id="rId414" Type="http://schemas.openxmlformats.org/officeDocument/2006/relationships/hyperlink" Target="https://en.wikipedia.org/wiki/Australia" TargetMode="External"/><Relationship Id="rId456" Type="http://schemas.openxmlformats.org/officeDocument/2006/relationships/hyperlink" Target="https://en.wikipedia.org/wiki/Brazil" TargetMode="External"/><Relationship Id="rId13" Type="http://schemas.openxmlformats.org/officeDocument/2006/relationships/hyperlink" Target="https://en.wikipedia.org/wiki/Ethiopia" TargetMode="External"/><Relationship Id="rId109" Type="http://schemas.openxmlformats.org/officeDocument/2006/relationships/hyperlink" Target="https://en.wikipedia.org/wiki/Sultanate_of_Zanzibar" TargetMode="External"/><Relationship Id="rId260" Type="http://schemas.openxmlformats.org/officeDocument/2006/relationships/hyperlink" Target="https://en.wikipedia.org/wiki/Belarus" TargetMode="External"/><Relationship Id="rId316" Type="http://schemas.openxmlformats.org/officeDocument/2006/relationships/hyperlink" Target="https://en.wikipedia.org/wiki/British_Bahamas" TargetMode="External"/><Relationship Id="rId55" Type="http://schemas.openxmlformats.org/officeDocument/2006/relationships/hyperlink" Target="https://en.wikipedia.org/wiki/Colony_of_Niger" TargetMode="External"/><Relationship Id="rId97" Type="http://schemas.openxmlformats.org/officeDocument/2006/relationships/hyperlink" Target="https://en.wikipedia.org/wiki/Southern_Rhodesia" TargetMode="External"/><Relationship Id="rId120" Type="http://schemas.openxmlformats.org/officeDocument/2006/relationships/hyperlink" Target="https://en.wikipedia.org/wiki/Ruanda-Urundi" TargetMode="External"/><Relationship Id="rId358" Type="http://schemas.openxmlformats.org/officeDocument/2006/relationships/hyperlink" Target="https://en.wikipedia.org/wiki/Viceroyalty_of_New_Granada" TargetMode="External"/><Relationship Id="rId162" Type="http://schemas.openxmlformats.org/officeDocument/2006/relationships/hyperlink" Target="https://en.wikipedia.org/wiki/Ottoman_Tripolitania" TargetMode="External"/><Relationship Id="rId218" Type="http://schemas.openxmlformats.org/officeDocument/2006/relationships/hyperlink" Target="https://en.wikipedia.org/wiki/Federation_of_Malaya" TargetMode="External"/><Relationship Id="rId425" Type="http://schemas.openxmlformats.org/officeDocument/2006/relationships/hyperlink" Target="https://en.wikipedia.org/wiki/Solomon_Islands" TargetMode="External"/><Relationship Id="rId467" Type="http://schemas.openxmlformats.org/officeDocument/2006/relationships/hyperlink" Target="https://en.wikipedia.org/wiki/Viceroyalty_of_Peru" TargetMode="External"/><Relationship Id="rId271" Type="http://schemas.openxmlformats.org/officeDocument/2006/relationships/hyperlink" Target="https://en.wikipedia.org/wiki/Third_Czechoslovak_Republic" TargetMode="External"/><Relationship Id="rId24" Type="http://schemas.openxmlformats.org/officeDocument/2006/relationships/hyperlink" Target="https://en.wikipedia.org/wiki/Central_African_Republic" TargetMode="External"/><Relationship Id="rId66" Type="http://schemas.openxmlformats.org/officeDocument/2006/relationships/hyperlink" Target="https://en.wikipedia.org/wiki/Equatorial_Guinea" TargetMode="External"/><Relationship Id="rId131" Type="http://schemas.openxmlformats.org/officeDocument/2006/relationships/hyperlink" Target="https://en.wikipedia.org/wiki/Kingdom_of_Egypt" TargetMode="External"/><Relationship Id="rId327" Type="http://schemas.openxmlformats.org/officeDocument/2006/relationships/hyperlink" Target="https://en.wikipedia.org/wiki/Grenada" TargetMode="External"/><Relationship Id="rId369" Type="http://schemas.openxmlformats.org/officeDocument/2006/relationships/hyperlink" Target="https://en.wikipedia.org/wiki/Denmark" TargetMode="External"/><Relationship Id="rId173" Type="http://schemas.openxmlformats.org/officeDocument/2006/relationships/hyperlink" Target="https://en.wikipedia.org/wiki/Yemen" TargetMode="External"/><Relationship Id="rId229" Type="http://schemas.openxmlformats.org/officeDocument/2006/relationships/hyperlink" Target="https://en.wikipedia.org/wiki/Laos" TargetMode="External"/><Relationship Id="rId380" Type="http://schemas.openxmlformats.org/officeDocument/2006/relationships/hyperlink" Target="https://en.wikipedia.org/wiki/West_Germany" TargetMode="External"/><Relationship Id="rId436" Type="http://schemas.openxmlformats.org/officeDocument/2006/relationships/hyperlink" Target="https://en.wikipedia.org/wiki/Samoa" TargetMode="External"/><Relationship Id="rId240" Type="http://schemas.openxmlformats.org/officeDocument/2006/relationships/hyperlink" Target="https://en.wikipedia.org/wiki/Japan" TargetMode="External"/><Relationship Id="rId478" Type="http://schemas.openxmlformats.org/officeDocument/2006/relationships/hyperlink" Target="https://en.wikipedia.org/wiki/Nyasaland" TargetMode="External"/><Relationship Id="rId35" Type="http://schemas.openxmlformats.org/officeDocument/2006/relationships/hyperlink" Target="https://en.wikipedia.org/wiki/The_Gambia" TargetMode="External"/><Relationship Id="rId77" Type="http://schemas.openxmlformats.org/officeDocument/2006/relationships/hyperlink" Target="https://en.wikipedia.org/wiki/Kamerun" TargetMode="External"/><Relationship Id="rId100" Type="http://schemas.openxmlformats.org/officeDocument/2006/relationships/hyperlink" Target="https://en.wikipedia.org/wiki/Portuguese_Mozambique" TargetMode="External"/><Relationship Id="rId282" Type="http://schemas.openxmlformats.org/officeDocument/2006/relationships/hyperlink" Target="https://en.wikipedia.org/wiki/Albania" TargetMode="External"/><Relationship Id="rId338" Type="http://schemas.openxmlformats.org/officeDocument/2006/relationships/hyperlink" Target="https://en.wikipedia.org/wiki/Bermuda" TargetMode="External"/><Relationship Id="rId8" Type="http://schemas.openxmlformats.org/officeDocument/2006/relationships/hyperlink" Target="https://en.wikipedia.org/wiki/British_Military_Administration_(Eritrea)" TargetMode="External"/><Relationship Id="rId142" Type="http://schemas.openxmlformats.org/officeDocument/2006/relationships/hyperlink" Target="https://en.wikipedia.org/wiki/French_Algeria" TargetMode="External"/><Relationship Id="rId184" Type="http://schemas.openxmlformats.org/officeDocument/2006/relationships/hyperlink" Target="https://en.wikipedia.org/wiki/Qatar" TargetMode="External"/><Relationship Id="rId391" Type="http://schemas.openxmlformats.org/officeDocument/2006/relationships/hyperlink" Target="https://en.wikipedia.org/wiki/Svalbard" TargetMode="External"/><Relationship Id="rId405" Type="http://schemas.openxmlformats.org/officeDocument/2006/relationships/hyperlink" Target="https://en.wikipedia.org/wiki/Mexico" TargetMode="External"/><Relationship Id="rId447" Type="http://schemas.openxmlformats.org/officeDocument/2006/relationships/hyperlink" Target="https://en.wikipedia.org/wiki/Marshall_Islands" TargetMode="External"/><Relationship Id="rId251" Type="http://schemas.openxmlformats.org/officeDocument/2006/relationships/hyperlink" Target="https://en.wikipedia.org/wiki/Kazakhstan" TargetMode="External"/><Relationship Id="rId46" Type="http://schemas.openxmlformats.org/officeDocument/2006/relationships/hyperlink" Target="https://en.wikipedia.org/wiki/French_Togoland" TargetMode="External"/><Relationship Id="rId293" Type="http://schemas.openxmlformats.org/officeDocument/2006/relationships/hyperlink" Target="https://en.wikipedia.org/wiki/Austria" TargetMode="External"/><Relationship Id="rId307" Type="http://schemas.openxmlformats.org/officeDocument/2006/relationships/hyperlink" Target="https://en.wikipedia.org/wiki/Crown_Colony_of_Malta" TargetMode="External"/><Relationship Id="rId349" Type="http://schemas.openxmlformats.org/officeDocument/2006/relationships/hyperlink" Target="https://en.wikipedia.org/wiki/Saint-Domingue" TargetMode="External"/><Relationship Id="rId88" Type="http://schemas.openxmlformats.org/officeDocument/2006/relationships/hyperlink" Target="https://en.wikipedia.org/wiki/Bechuanaland_Protectorate" TargetMode="External"/><Relationship Id="rId111" Type="http://schemas.openxmlformats.org/officeDocument/2006/relationships/hyperlink" Target="https://en.wikipedia.org/wiki/Malagasy_Protectorate" TargetMode="External"/><Relationship Id="rId153" Type="http://schemas.openxmlformats.org/officeDocument/2006/relationships/hyperlink" Target="https://en.wikipedia.org/wiki/Mayotte" TargetMode="External"/><Relationship Id="rId195" Type="http://schemas.openxmlformats.org/officeDocument/2006/relationships/hyperlink" Target="https://en.wikipedia.org/wiki/Pakistan" TargetMode="External"/><Relationship Id="rId209" Type="http://schemas.openxmlformats.org/officeDocument/2006/relationships/hyperlink" Target="https://en.wikipedia.org/wiki/Konbaung_dynasty" TargetMode="External"/><Relationship Id="rId360" Type="http://schemas.openxmlformats.org/officeDocument/2006/relationships/hyperlink" Target="https://en.wikipedia.org/wiki/Costa_Rica" TargetMode="External"/><Relationship Id="rId416" Type="http://schemas.openxmlformats.org/officeDocument/2006/relationships/hyperlink" Target="https://en.wikipedia.org/wiki/New_Zealand" TargetMode="External"/><Relationship Id="rId220" Type="http://schemas.openxmlformats.org/officeDocument/2006/relationships/hyperlink" Target="https://en.wikipedia.org/wiki/Indonesia" TargetMode="External"/><Relationship Id="rId458" Type="http://schemas.openxmlformats.org/officeDocument/2006/relationships/hyperlink" Target="https://en.wikipedia.org/wiki/Cisplatina" TargetMode="External"/><Relationship Id="rId15" Type="http://schemas.openxmlformats.org/officeDocument/2006/relationships/hyperlink" Target="https://en.wikipedia.org/wiki/Ethiopian_Empire" TargetMode="External"/><Relationship Id="rId57" Type="http://schemas.openxmlformats.org/officeDocument/2006/relationships/hyperlink" Target="https://en.wikipedia.org/wiki/Republic_of_Dahomey" TargetMode="External"/><Relationship Id="rId262" Type="http://schemas.openxmlformats.org/officeDocument/2006/relationships/hyperlink" Target="https://en.wikipedia.org/wiki/Estonia" TargetMode="External"/><Relationship Id="rId318" Type="http://schemas.openxmlformats.org/officeDocument/2006/relationships/hyperlink" Target="https://en.wikipedia.org/wiki/Barbados" TargetMode="External"/><Relationship Id="rId99" Type="http://schemas.openxmlformats.org/officeDocument/2006/relationships/hyperlink" Target="https://en.wikipedia.org/wiki/Mozambique" TargetMode="External"/><Relationship Id="rId122" Type="http://schemas.openxmlformats.org/officeDocument/2006/relationships/hyperlink" Target="https://en.wikipedia.org/wiki/East_Africa_Protectorate" TargetMode="External"/><Relationship Id="rId164" Type="http://schemas.openxmlformats.org/officeDocument/2006/relationships/hyperlink" Target="https://en.wikipedia.org/wiki/Ottoman_Tunisia" TargetMode="External"/><Relationship Id="rId371" Type="http://schemas.openxmlformats.org/officeDocument/2006/relationships/hyperlink" Target="https://en.wikipedia.org/wiki/Kingdom_of_Prussia" TargetMode="External"/><Relationship Id="rId427" Type="http://schemas.openxmlformats.org/officeDocument/2006/relationships/hyperlink" Target="https://en.wikipedia.org/wiki/Tuvalu" TargetMode="External"/><Relationship Id="rId469" Type="http://schemas.openxmlformats.org/officeDocument/2006/relationships/hyperlink" Target="https://en.wikipedia.org/wiki/Venezuela" TargetMode="External"/><Relationship Id="rId26" Type="http://schemas.openxmlformats.org/officeDocument/2006/relationships/hyperlink" Target="https://en.wikipedia.org/wiki/Cape_Verde" TargetMode="External"/><Relationship Id="rId231" Type="http://schemas.openxmlformats.org/officeDocument/2006/relationships/hyperlink" Target="https://en.wikipedia.org/wiki/Kingdom_of_Luang_Phrabang" TargetMode="External"/><Relationship Id="rId273" Type="http://schemas.openxmlformats.org/officeDocument/2006/relationships/hyperlink" Target="https://en.wikipedia.org/wiki/Hungary" TargetMode="External"/><Relationship Id="rId329" Type="http://schemas.openxmlformats.org/officeDocument/2006/relationships/hyperlink" Target="https://en.wikipedia.org/wiki/Saint_Lucia" TargetMode="External"/><Relationship Id="rId480" Type="http://schemas.openxmlformats.org/officeDocument/2006/relationships/hyperlink" Target="https://en.wikipedia.org/wiki/Spanish_Sahara" TargetMode="External"/><Relationship Id="rId68" Type="http://schemas.openxmlformats.org/officeDocument/2006/relationships/hyperlink" Target="https://en.wikipedia.org/wiki/Portuguese_S%C3%A3o_Tom%C3%A9_and_Pr%C3%ADncipe" TargetMode="External"/><Relationship Id="rId133" Type="http://schemas.openxmlformats.org/officeDocument/2006/relationships/hyperlink" Target="https://en.wikipedia.org/wiki/Libya" TargetMode="External"/><Relationship Id="rId175" Type="http://schemas.openxmlformats.org/officeDocument/2006/relationships/hyperlink" Target="https://en.wikipedia.org/wiki/Yemen_vilayet" TargetMode="External"/><Relationship Id="rId340" Type="http://schemas.openxmlformats.org/officeDocument/2006/relationships/hyperlink" Target="https://en.wikipedia.org/wiki/British_Virgin_Islands" TargetMode="External"/><Relationship Id="rId200" Type="http://schemas.openxmlformats.org/officeDocument/2006/relationships/hyperlink" Target="https://en.wikipedia.org/wiki/British_Ceylon" TargetMode="External"/><Relationship Id="rId382" Type="http://schemas.openxmlformats.org/officeDocument/2006/relationships/hyperlink" Target="https://en.wikipedia.org/wiki/East_Germany" TargetMode="External"/><Relationship Id="rId438" Type="http://schemas.openxmlformats.org/officeDocument/2006/relationships/hyperlink" Target="https://en.wikipedia.org/wiki/New_Hebrides" TargetMode="External"/><Relationship Id="rId242" Type="http://schemas.openxmlformats.org/officeDocument/2006/relationships/hyperlink" Target="https://en.wikipedia.org/wiki/Joseon" TargetMode="External"/><Relationship Id="rId284" Type="http://schemas.openxmlformats.org/officeDocument/2006/relationships/hyperlink" Target="https://en.wikipedia.org/wiki/Yugoslavia" TargetMode="External"/><Relationship Id="rId37" Type="http://schemas.openxmlformats.org/officeDocument/2006/relationships/hyperlink" Target="https://en.wikipedia.org/wiki/Guinea-Bissau" TargetMode="External"/><Relationship Id="rId79" Type="http://schemas.openxmlformats.org/officeDocument/2006/relationships/hyperlink" Target="https://en.wikipedia.org/wiki/Namibia" TargetMode="External"/><Relationship Id="rId102" Type="http://schemas.openxmlformats.org/officeDocument/2006/relationships/hyperlink" Target="https://en.wikipedia.org/wiki/Tanganyika_(1961%E2%80%931964)" TargetMode="External"/><Relationship Id="rId144" Type="http://schemas.openxmlformats.org/officeDocument/2006/relationships/hyperlink" Target="https://en.wikipedia.org/wiki/French_protectorate_in_Morocco" TargetMode="External"/><Relationship Id="rId90" Type="http://schemas.openxmlformats.org/officeDocument/2006/relationships/hyperlink" Target="https://en.wikipedia.org/wiki/Transvaal_Colony" TargetMode="External"/><Relationship Id="rId186" Type="http://schemas.openxmlformats.org/officeDocument/2006/relationships/hyperlink" Target="https://en.wikipedia.org/wiki/Bahrain" TargetMode="External"/><Relationship Id="rId351" Type="http://schemas.openxmlformats.org/officeDocument/2006/relationships/hyperlink" Target="https://en.wikipedia.org/wiki/Captaincy_General_of_Cuba" TargetMode="External"/><Relationship Id="rId393" Type="http://schemas.openxmlformats.org/officeDocument/2006/relationships/hyperlink" Target="https://en.wikipedia.org/wiki/Kenya" TargetMode="External"/><Relationship Id="rId407" Type="http://schemas.openxmlformats.org/officeDocument/2006/relationships/hyperlink" Target="https://en.wikipedia.org/wiki/Captaincy_General_of_Puerto_Rico" TargetMode="External"/><Relationship Id="rId449" Type="http://schemas.openxmlformats.org/officeDocument/2006/relationships/hyperlink" Target="https://en.wikipedia.org/wiki/South_Seas_Mandate" TargetMode="External"/><Relationship Id="rId211" Type="http://schemas.openxmlformats.org/officeDocument/2006/relationships/hyperlink" Target="https://en.wikipedia.org/wiki/Thailand" TargetMode="External"/><Relationship Id="rId253" Type="http://schemas.openxmlformats.org/officeDocument/2006/relationships/hyperlink" Target="https://en.wikipedia.org/wiki/Armenia" TargetMode="External"/><Relationship Id="rId295" Type="http://schemas.openxmlformats.org/officeDocument/2006/relationships/hyperlink" Target="https://en.wikipedia.org/wiki/Austria-Hungary" TargetMode="External"/><Relationship Id="rId309" Type="http://schemas.openxmlformats.org/officeDocument/2006/relationships/hyperlink" Target="https://en.wikipedia.org/wiki/Portugal" TargetMode="External"/><Relationship Id="rId460" Type="http://schemas.openxmlformats.org/officeDocument/2006/relationships/hyperlink" Target="https://en.wikipedia.org/wiki/Viceroyalty_of_the_R%C3%ADo_de_la_Plata" TargetMode="External"/><Relationship Id="rId48" Type="http://schemas.openxmlformats.org/officeDocument/2006/relationships/hyperlink" Target="https://en.wikipedia.org/wiki/Sierra_Leone" TargetMode="External"/><Relationship Id="rId113" Type="http://schemas.openxmlformats.org/officeDocument/2006/relationships/hyperlink" Target="https://en.wikipedia.org/wiki/Comoros" TargetMode="External"/><Relationship Id="rId320" Type="http://schemas.openxmlformats.org/officeDocument/2006/relationships/hyperlink" Target="https://en.wikipedia.org/wiki/Colony_of_Cura%C3%A7ao_and_Dependencies" TargetMode="External"/><Relationship Id="rId155" Type="http://schemas.openxmlformats.org/officeDocument/2006/relationships/hyperlink" Target="https://en.wikipedia.org/wiki/Ottoman_Empire" TargetMode="External"/><Relationship Id="rId197" Type="http://schemas.openxmlformats.org/officeDocument/2006/relationships/hyperlink" Target="https://en.wikipedia.org/wiki/India" TargetMode="External"/><Relationship Id="rId362" Type="http://schemas.openxmlformats.org/officeDocument/2006/relationships/hyperlink" Target="https://en.wikipedia.org/wiki/Duchy_of_Luxembourg" TargetMode="External"/><Relationship Id="rId418" Type="http://schemas.openxmlformats.org/officeDocument/2006/relationships/hyperlink" Target="https://en.wikipedia.org/wiki/Spanish_East_Indies" TargetMode="External"/><Relationship Id="rId222" Type="http://schemas.openxmlformats.org/officeDocument/2006/relationships/hyperlink" Target="https://en.wikipedia.org/wiki/Portuguese_Timor" TargetMode="External"/><Relationship Id="rId264" Type="http://schemas.openxmlformats.org/officeDocument/2006/relationships/hyperlink" Target="https://en.wikipedia.org/wiki/Latvia" TargetMode="External"/><Relationship Id="rId471" Type="http://schemas.openxmlformats.org/officeDocument/2006/relationships/hyperlink" Target="https://en.wikipedia.org/wiki/British_Guiana" TargetMode="External"/><Relationship Id="rId17" Type="http://schemas.openxmlformats.org/officeDocument/2006/relationships/hyperlink" Target="https://en.wikipedia.org/wiki/French_Equatorial_Africa" TargetMode="External"/><Relationship Id="rId59" Type="http://schemas.openxmlformats.org/officeDocument/2006/relationships/hyperlink" Target="https://en.wikipedia.org/wiki/Nigeria" TargetMode="External"/><Relationship Id="rId124" Type="http://schemas.openxmlformats.org/officeDocument/2006/relationships/hyperlink" Target="https://en.wikipedia.org/wiki/Uganda" TargetMode="External"/><Relationship Id="rId70" Type="http://schemas.openxmlformats.org/officeDocument/2006/relationships/hyperlink" Target="https://en.wikipedia.org/wiki/Seychelles" TargetMode="External"/><Relationship Id="rId166" Type="http://schemas.openxmlformats.org/officeDocument/2006/relationships/hyperlink" Target="https://en.wikipedia.org/wiki/Lebanon" TargetMode="External"/><Relationship Id="rId331" Type="http://schemas.openxmlformats.org/officeDocument/2006/relationships/hyperlink" Target="https://en.wikipedia.org/wiki/Dominica" TargetMode="External"/><Relationship Id="rId373" Type="http://schemas.openxmlformats.org/officeDocument/2006/relationships/hyperlink" Target="https://en.wikipedia.org/wiki/Kingdom_of_Saxony" TargetMode="External"/><Relationship Id="rId429" Type="http://schemas.openxmlformats.org/officeDocument/2006/relationships/hyperlink" Target="https://en.wikipedia.org/wiki/Tonga" TargetMode="External"/><Relationship Id="rId1" Type="http://schemas.openxmlformats.org/officeDocument/2006/relationships/hyperlink" Target="https://en.wikipedia.org/wiki/Obock_Territory" TargetMode="External"/><Relationship Id="rId233" Type="http://schemas.openxmlformats.org/officeDocument/2006/relationships/hyperlink" Target="https://en.wikipedia.org/wiki/French_Indochina" TargetMode="External"/><Relationship Id="rId440" Type="http://schemas.openxmlformats.org/officeDocument/2006/relationships/hyperlink" Target="https://en.wikipedia.org/wiki/History_of_Nauru" TargetMode="External"/><Relationship Id="rId28" Type="http://schemas.openxmlformats.org/officeDocument/2006/relationships/hyperlink" Target="https://en.wikipedia.org/wiki/Mauritania" TargetMode="External"/><Relationship Id="rId275" Type="http://schemas.openxmlformats.org/officeDocument/2006/relationships/hyperlink" Target="https://en.wikipedia.org/wiki/United_Principalities_of_Moldavia_and_Wallachia" TargetMode="External"/><Relationship Id="rId300" Type="http://schemas.openxmlformats.org/officeDocument/2006/relationships/hyperlink" Target="https://en.wikipedia.org/wiki/Kingdom_of_Sardinia_(1720%E2%80%931861)" TargetMode="External"/><Relationship Id="rId482" Type="http://schemas.openxmlformats.org/officeDocument/2006/relationships/table" Target="../tables/table2.xml"/><Relationship Id="rId81" Type="http://schemas.openxmlformats.org/officeDocument/2006/relationships/hyperlink" Target="https://en.wikipedia.org/wiki/South_West_Africa" TargetMode="External"/><Relationship Id="rId135" Type="http://schemas.openxmlformats.org/officeDocument/2006/relationships/hyperlink" Target="https://en.wikipedia.org/wiki/Italian_Libya" TargetMode="External"/><Relationship Id="rId177" Type="http://schemas.openxmlformats.org/officeDocument/2006/relationships/hyperlink" Target="https://en.wikipedia.org/wiki/Aden_Protectorate" TargetMode="External"/><Relationship Id="rId342" Type="http://schemas.openxmlformats.org/officeDocument/2006/relationships/hyperlink" Target="https://en.wikipedia.org/wiki/Dominican_Republic" TargetMode="External"/><Relationship Id="rId384" Type="http://schemas.openxmlformats.org/officeDocument/2006/relationships/hyperlink" Target="https://en.wikipedia.org/wiki/Allied-occupied_Germany" TargetMode="External"/><Relationship Id="rId202" Type="http://schemas.openxmlformats.org/officeDocument/2006/relationships/hyperlink" Target="https://en.wikipedia.org/wiki/Maldives" TargetMode="External"/><Relationship Id="rId244" Type="http://schemas.openxmlformats.org/officeDocument/2006/relationships/hyperlink" Target="https://en.wikipedia.org/wiki/Korea_under_Japanese_rule" TargetMode="External"/><Relationship Id="rId39" Type="http://schemas.openxmlformats.org/officeDocument/2006/relationships/hyperlink" Target="https://en.wikipedia.org/wiki/Liberia" TargetMode="External"/><Relationship Id="rId286" Type="http://schemas.openxmlformats.org/officeDocument/2006/relationships/hyperlink" Target="https://en.wikipedia.org/wiki/Principality_of_Serbia" TargetMode="External"/><Relationship Id="rId451" Type="http://schemas.openxmlformats.org/officeDocument/2006/relationships/hyperlink" Target="https://en.wikipedia.org/wiki/Guam" TargetMode="External"/><Relationship Id="rId50" Type="http://schemas.openxmlformats.org/officeDocument/2006/relationships/hyperlink" Target="https://en.wikipedia.org/wiki/Mali" TargetMode="External"/><Relationship Id="rId104" Type="http://schemas.openxmlformats.org/officeDocument/2006/relationships/hyperlink" Target="https://en.wikipedia.org/wiki/Tanganyika_Territory" TargetMode="External"/><Relationship Id="rId146" Type="http://schemas.openxmlformats.org/officeDocument/2006/relationships/hyperlink" Target="https://en.wikipedia.org/wiki/Singapore" TargetMode="External"/><Relationship Id="rId188" Type="http://schemas.openxmlformats.org/officeDocument/2006/relationships/hyperlink" Target="https://en.wikipedia.org/wiki/Emirate_of_Kuwait" TargetMode="External"/><Relationship Id="rId311" Type="http://schemas.openxmlformats.org/officeDocument/2006/relationships/hyperlink" Target="https://en.wikipedia.org/wiki/Madeira" TargetMode="External"/><Relationship Id="rId353" Type="http://schemas.openxmlformats.org/officeDocument/2006/relationships/hyperlink" Target="https://en.wikipedia.org/wiki/Faroe_Islands" TargetMode="External"/><Relationship Id="rId395" Type="http://schemas.openxmlformats.org/officeDocument/2006/relationships/hyperlink" Target="https://en.wikipedia.org/wiki/United_Kingdom" TargetMode="External"/><Relationship Id="rId409" Type="http://schemas.openxmlformats.org/officeDocument/2006/relationships/hyperlink" Target="https://en.wikipedia.org/wiki/Danish_West_Indies" TargetMode="External"/><Relationship Id="rId92" Type="http://schemas.openxmlformats.org/officeDocument/2006/relationships/hyperlink" Target="https://en.wikipedia.org/wiki/Zambia" TargetMode="External"/><Relationship Id="rId213" Type="http://schemas.openxmlformats.org/officeDocument/2006/relationships/hyperlink" Target="https://en.wikipedia.org/wiki/Raj_of_Sarawak" TargetMode="External"/><Relationship Id="rId420" Type="http://schemas.openxmlformats.org/officeDocument/2006/relationships/hyperlink" Target="https://en.wikipedia.org/wiki/Territory_of_New_Guinea" TargetMode="External"/><Relationship Id="rId255" Type="http://schemas.openxmlformats.org/officeDocument/2006/relationships/hyperlink" Target="https://en.wikipedia.org/wiki/Ukraine" TargetMode="External"/><Relationship Id="rId297" Type="http://schemas.openxmlformats.org/officeDocument/2006/relationships/hyperlink" Target="https://en.wikipedia.org/wiki/Switzerland" TargetMode="External"/><Relationship Id="rId462" Type="http://schemas.openxmlformats.org/officeDocument/2006/relationships/hyperlink" Target="https://en.wikipedia.org/wiki/Argentina" TargetMode="External"/><Relationship Id="rId115" Type="http://schemas.openxmlformats.org/officeDocument/2006/relationships/hyperlink" Target="https://en.wikipedia.org/wiki/Mauritius" TargetMode="External"/><Relationship Id="rId157" Type="http://schemas.openxmlformats.org/officeDocument/2006/relationships/hyperlink" Target="https://en.wikipedia.org/wiki/Ottoman_Cyprus" TargetMode="External"/><Relationship Id="rId322" Type="http://schemas.openxmlformats.org/officeDocument/2006/relationships/hyperlink" Target="https://en.wikipedia.org/wiki/Bonaire" TargetMode="External"/><Relationship Id="rId364" Type="http://schemas.openxmlformats.org/officeDocument/2006/relationships/hyperlink" Target="https://en.wikipedia.org/wiki/Nicaragua" TargetMode="External"/><Relationship Id="rId61" Type="http://schemas.openxmlformats.org/officeDocument/2006/relationships/hyperlink" Target="https://en.wikipedia.org/wiki/Southern_Nigeria_Protectorate" TargetMode="External"/><Relationship Id="rId199" Type="http://schemas.openxmlformats.org/officeDocument/2006/relationships/hyperlink" Target="https://en.wikipedia.org/wiki/Kingdom_of_Kandy" TargetMode="External"/><Relationship Id="rId19" Type="http://schemas.openxmlformats.org/officeDocument/2006/relationships/hyperlink" Target="https://en.wikipedia.org/wiki/French_Congo" TargetMode="External"/><Relationship Id="rId224" Type="http://schemas.openxmlformats.org/officeDocument/2006/relationships/hyperlink" Target="https://en.wikipedia.org/wiki/Sultanate_of_Brunei_(1368%E2%80%931888)" TargetMode="External"/><Relationship Id="rId266" Type="http://schemas.openxmlformats.org/officeDocument/2006/relationships/hyperlink" Target="https://en.wikipedia.org/wiki/Lithuania" TargetMode="External"/><Relationship Id="rId431" Type="http://schemas.openxmlformats.org/officeDocument/2006/relationships/hyperlink" Target="https://en.wikipedia.org/wiki/Fiji" TargetMode="External"/><Relationship Id="rId473" Type="http://schemas.openxmlformats.org/officeDocument/2006/relationships/hyperlink" Target="https://en.wikipedia.org/wiki/Suriname_(Kingdom_of_the_Netherlands)" TargetMode="External"/><Relationship Id="rId30" Type="http://schemas.openxmlformats.org/officeDocument/2006/relationships/hyperlink" Target="https://en.wikipedia.org/wiki/French_West_Africa" TargetMode="External"/><Relationship Id="rId126" Type="http://schemas.openxmlformats.org/officeDocument/2006/relationships/hyperlink" Target="https://en.wikipedia.org/wiki/Sudan" TargetMode="External"/><Relationship Id="rId168" Type="http://schemas.openxmlformats.org/officeDocument/2006/relationships/hyperlink" Target="https://en.wikipedia.org/wiki/Mandatory_Palestine" TargetMode="External"/><Relationship Id="rId333" Type="http://schemas.openxmlformats.org/officeDocument/2006/relationships/hyperlink" Target="https://en.wikipedia.org/wiki/Saint_Kitts_and_Nevis" TargetMode="External"/><Relationship Id="rId72" Type="http://schemas.openxmlformats.org/officeDocument/2006/relationships/hyperlink" Target="https://en.wikipedia.org/wiki/Angola" TargetMode="External"/><Relationship Id="rId375" Type="http://schemas.openxmlformats.org/officeDocument/2006/relationships/hyperlink" Target="https://en.wikipedia.org/wiki/Kingdom_of_W%C3%BCrttemberg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geohack.toolforge.org/geohack.php?pagename=Mogadishu&amp;params=02_02_21_N_45_20_31_E_region:SO-BN_type:city(3262129)" TargetMode="External"/><Relationship Id="rId13" Type="http://schemas.openxmlformats.org/officeDocument/2006/relationships/hyperlink" Target="https://geohack.toolforge.org/geohack.php?pagename=Mekelle&amp;params=13_29_49_N_39_28_37_E_region:ET-TI_type:city(525475)" TargetMode="External"/><Relationship Id="rId3" Type="http://schemas.openxmlformats.org/officeDocument/2006/relationships/hyperlink" Target="https://geohack.toolforge.org/geohack.php?pagename=Mogadishu&amp;params=02_02_21_N_45_20_31_E_region:SO-BN_type:city(3262129)" TargetMode="External"/><Relationship Id="rId7" Type="http://schemas.openxmlformats.org/officeDocument/2006/relationships/hyperlink" Target="https://geohack.toolforge.org/geohack.php?pagename=Mogadishu&amp;params=02_02_21_N_45_20_31_E_region:SO-BN_type:city(3262129)" TargetMode="External"/><Relationship Id="rId12" Type="http://schemas.openxmlformats.org/officeDocument/2006/relationships/hyperlink" Target="https://geohack.toolforge.org/geohack.php?pagename=Debre_Tabor&amp;params=11_51_N_38_1_E_region:ET_type:city(55596)" TargetMode="External"/><Relationship Id="rId17" Type="http://schemas.openxmlformats.org/officeDocument/2006/relationships/hyperlink" Target="https://geohack.toolforge.org/geohack.php?pagename=Djibouti&amp;params=11_36_N_43_10_E_type:city_region:DJ" TargetMode="External"/><Relationship Id="rId2" Type="http://schemas.openxmlformats.org/officeDocument/2006/relationships/hyperlink" Target="https://geohack.toolforge.org/geohack.php?pagename=Obock&amp;params=11_58_N_43_17_E_region:DJ_type:city(20152)" TargetMode="External"/><Relationship Id="rId16" Type="http://schemas.openxmlformats.org/officeDocument/2006/relationships/hyperlink" Target="https://en.wikipedia.org/wiki/French_Territory_of_the_Afars_and_the_Issas" TargetMode="External"/><Relationship Id="rId1" Type="http://schemas.openxmlformats.org/officeDocument/2006/relationships/hyperlink" Target="https://geohack.toolforge.org/geohack.php?pagename=Djibouti&amp;params=11_36_N_43_10_E_type:city_region:DJ" TargetMode="External"/><Relationship Id="rId6" Type="http://schemas.openxmlformats.org/officeDocument/2006/relationships/hyperlink" Target="https://geohack.toolforge.org/geohack.php?pagename=Addis_Ababa&amp;params=9_1_48_N_38_44_24_E_type:city(2757729)_region:ET-AA" TargetMode="External"/><Relationship Id="rId11" Type="http://schemas.openxmlformats.org/officeDocument/2006/relationships/hyperlink" Target="https://geohack.toolforge.org/geohack.php?pagename=Addis_Ababa&amp;params=9_1_48_N_38_44_24_E_type:city(2757729)_region:ET-AA" TargetMode="External"/><Relationship Id="rId5" Type="http://schemas.openxmlformats.org/officeDocument/2006/relationships/hyperlink" Target="https://geohack.toolforge.org/geohack.php?pagename=Mogadishu&amp;params=02_02_21_N_45_20_31_E_region:SO-BN_type:city(3262129)" TargetMode="External"/><Relationship Id="rId15" Type="http://schemas.openxmlformats.org/officeDocument/2006/relationships/hyperlink" Target="https://en.wikipedia.org/wiki/French_Somaliland" TargetMode="External"/><Relationship Id="rId10" Type="http://schemas.openxmlformats.org/officeDocument/2006/relationships/hyperlink" Target="https://geohack.toolforge.org/geohack.php?pagename=Hargeisa&amp;params=9_33_40_N_44_04_00_E_region:SO-Mu_type:city(1200000)" TargetMode="External"/><Relationship Id="rId4" Type="http://schemas.openxmlformats.org/officeDocument/2006/relationships/hyperlink" Target="https://geohack.toolforge.org/geohack.php?pagename=Addis_Ababa&amp;params=9_1_48_N_38_44_24_E_type:city(2757729)_region:ET-AA" TargetMode="External"/><Relationship Id="rId9" Type="http://schemas.openxmlformats.org/officeDocument/2006/relationships/hyperlink" Target="https://geohack.toolforge.org/geohack.php?pagename=Berbera&amp;params=10_26_08_N_045_00_59_E_region:SO-WG_type:city(242344)" TargetMode="External"/><Relationship Id="rId14" Type="http://schemas.openxmlformats.org/officeDocument/2006/relationships/hyperlink" Target="https://en.wikipedia.org/wiki/Obock_Territory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en.wikipedia.org/wiki/Batavian_Republic" TargetMode="External"/><Relationship Id="rId2" Type="http://schemas.openxmlformats.org/officeDocument/2006/relationships/hyperlink" Target="https://en.wikipedia.org/wiki/Batavian_Republic" TargetMode="External"/><Relationship Id="rId1" Type="http://schemas.openxmlformats.org/officeDocument/2006/relationships/hyperlink" Target="https://en.wikipedia.org/wiki/Dutch_Republic" TargetMode="External"/><Relationship Id="rId6" Type="http://schemas.openxmlformats.org/officeDocument/2006/relationships/hyperlink" Target="https://en.wikipedia.org/wiki/United_Kingdom_of_the_Netherlands" TargetMode="External"/><Relationship Id="rId5" Type="http://schemas.openxmlformats.org/officeDocument/2006/relationships/hyperlink" Target="https://en.wikipedia.org/wiki/Kingdom_of_the_Netherlands" TargetMode="External"/><Relationship Id="rId4" Type="http://schemas.openxmlformats.org/officeDocument/2006/relationships/hyperlink" Target="https://en.wikipedia.org/wiki/Kingdom_of_Holla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06138-4403-594C-968D-2803C31638F2}">
  <sheetPr codeName="Sheet1"/>
  <dimension ref="A1:S205"/>
  <sheetViews>
    <sheetView showZeros="0" zoomScale="150" zoomScaleNormal="150" workbookViewId="0">
      <pane xSplit="1" ySplit="1" topLeftCell="B183" activePane="bottomRight" state="frozen"/>
      <selection pane="topRight" activeCell="B1" sqref="B1"/>
      <selection pane="bottomLeft" activeCell="A2" sqref="A2"/>
      <selection pane="bottomRight" activeCell="A205" sqref="A205"/>
    </sheetView>
  </sheetViews>
  <sheetFormatPr baseColWidth="10" defaultRowHeight="16" x14ac:dyDescent="0.2"/>
  <cols>
    <col min="1" max="1" width="29.33203125" bestFit="1" customWidth="1"/>
    <col min="2" max="2" width="13" bestFit="1" customWidth="1"/>
    <col min="3" max="3" width="6.5" customWidth="1"/>
    <col min="4" max="4" width="12.6640625" bestFit="1" customWidth="1"/>
    <col min="5" max="5" width="5.6640625" customWidth="1"/>
    <col min="6" max="6" width="14.83203125" style="5" customWidth="1"/>
    <col min="7" max="7" width="5.5" style="5" customWidth="1"/>
    <col min="8" max="8" width="5.5" customWidth="1"/>
    <col min="9" max="9" width="22.83203125" bestFit="1" customWidth="1"/>
    <col min="10" max="10" width="12.5" style="4" bestFit="1" customWidth="1"/>
    <col min="11" max="11" width="5.6640625" customWidth="1"/>
    <col min="12" max="12" width="11.6640625" customWidth="1"/>
    <col min="13" max="13" width="6.6640625" customWidth="1"/>
    <col min="14" max="14" width="8" customWidth="1"/>
    <col min="15" max="18" width="6.5" customWidth="1"/>
    <col min="19" max="19" width="26.83203125" bestFit="1" customWidth="1"/>
  </cols>
  <sheetData>
    <row r="1" spans="1:19" ht="51" x14ac:dyDescent="0.2">
      <c r="A1" s="7" t="s">
        <v>280</v>
      </c>
      <c r="B1" s="7" t="s">
        <v>593</v>
      </c>
      <c r="C1" s="7" t="s">
        <v>594</v>
      </c>
      <c r="D1" s="7" t="s">
        <v>183</v>
      </c>
      <c r="E1" s="7" t="s">
        <v>595</v>
      </c>
      <c r="F1" s="8" t="s">
        <v>206</v>
      </c>
      <c r="G1" s="8" t="s">
        <v>207</v>
      </c>
      <c r="H1" s="7" t="s">
        <v>596</v>
      </c>
      <c r="I1" s="7" t="s">
        <v>188</v>
      </c>
      <c r="J1" s="9" t="s">
        <v>597</v>
      </c>
      <c r="K1" s="7" t="s">
        <v>598</v>
      </c>
      <c r="L1" s="7" t="s">
        <v>599</v>
      </c>
      <c r="M1" s="7" t="s">
        <v>600</v>
      </c>
      <c r="N1" s="7" t="s">
        <v>601</v>
      </c>
      <c r="O1" s="7" t="s">
        <v>602</v>
      </c>
      <c r="P1" s="7" t="s">
        <v>604</v>
      </c>
      <c r="Q1" s="7" t="s">
        <v>611</v>
      </c>
      <c r="R1" s="7" t="s">
        <v>612</v>
      </c>
      <c r="S1" s="10" t="s">
        <v>603</v>
      </c>
    </row>
    <row r="2" spans="1:19" x14ac:dyDescent="0.2">
      <c r="A2" s="2" t="s">
        <v>144</v>
      </c>
      <c r="B2" s="11">
        <v>284</v>
      </c>
      <c r="C2" s="1">
        <f t="shared" ref="C2:C33" si="0">RANK(B2,B$2:B$197)</f>
        <v>176</v>
      </c>
      <c r="D2" s="1">
        <v>6158000</v>
      </c>
      <c r="E2" s="1">
        <f t="shared" ref="E2:E33" si="1">RANK(D2,D$2:D$197)</f>
        <v>115</v>
      </c>
      <c r="F2" s="12" t="s">
        <v>400</v>
      </c>
      <c r="G2">
        <v>1965</v>
      </c>
      <c r="H2" s="1">
        <f t="shared" ref="H2:H33" si="2">RANK(G2,G$2:G$197)</f>
        <v>73</v>
      </c>
      <c r="I2" t="s">
        <v>144</v>
      </c>
      <c r="J2" s="4">
        <v>6158000</v>
      </c>
      <c r="K2" s="1">
        <f t="shared" ref="K2:K33" si="3">RANK(J2,J$2:J$197)</f>
        <v>20</v>
      </c>
      <c r="L2" s="3">
        <f t="shared" ref="L2:L33" si="4">D2/B2</f>
        <v>21683.098591549297</v>
      </c>
      <c r="M2" s="1">
        <f t="shared" ref="M2:M33" si="5">RANK(L2,L$2:L$197)</f>
        <v>2</v>
      </c>
      <c r="N2" s="6">
        <f t="shared" ref="N2:N33" si="6">J2/D2</f>
        <v>1</v>
      </c>
      <c r="O2" s="1">
        <f t="shared" ref="O2:O33" si="7">RANK(N2,N$2:N$197)</f>
        <v>1</v>
      </c>
      <c r="P2" s="1" t="s">
        <v>605</v>
      </c>
      <c r="Q2">
        <v>1965</v>
      </c>
      <c r="R2">
        <v>2026</v>
      </c>
    </row>
    <row r="3" spans="1:19" x14ac:dyDescent="0.2">
      <c r="A3" s="2" t="s">
        <v>177</v>
      </c>
      <c r="B3" s="11">
        <v>0.19</v>
      </c>
      <c r="C3" s="1">
        <f t="shared" si="0"/>
        <v>196</v>
      </c>
      <c r="D3">
        <v>882</v>
      </c>
      <c r="E3" s="1">
        <f t="shared" si="1"/>
        <v>196</v>
      </c>
      <c r="F3" s="12" t="s">
        <v>401</v>
      </c>
      <c r="G3">
        <v>1929</v>
      </c>
      <c r="H3" s="1">
        <f t="shared" si="2"/>
        <v>137</v>
      </c>
      <c r="I3" t="s">
        <v>177</v>
      </c>
      <c r="J3" s="4">
        <v>882</v>
      </c>
      <c r="K3" s="1">
        <f t="shared" si="3"/>
        <v>194</v>
      </c>
      <c r="L3" s="3">
        <f t="shared" si="4"/>
        <v>4642.105263157895</v>
      </c>
      <c r="M3" s="1">
        <f t="shared" si="5"/>
        <v>6</v>
      </c>
      <c r="N3" s="6">
        <f t="shared" si="6"/>
        <v>1</v>
      </c>
      <c r="O3" s="1">
        <f t="shared" si="7"/>
        <v>1</v>
      </c>
      <c r="P3" s="1" t="s">
        <v>606</v>
      </c>
      <c r="Q3">
        <v>1929</v>
      </c>
      <c r="R3">
        <v>2026</v>
      </c>
    </row>
    <row r="4" spans="1:19" x14ac:dyDescent="0.2">
      <c r="A4" s="2" t="s">
        <v>269</v>
      </c>
      <c r="B4" s="11">
        <v>5382</v>
      </c>
      <c r="C4" s="1">
        <f t="shared" si="0"/>
        <v>156</v>
      </c>
      <c r="D4" s="1">
        <v>413400</v>
      </c>
      <c r="E4" s="1">
        <f t="shared" si="1"/>
        <v>172</v>
      </c>
      <c r="F4" s="12" t="s">
        <v>402</v>
      </c>
      <c r="G4">
        <v>1973</v>
      </c>
      <c r="H4" s="1">
        <f t="shared" si="2"/>
        <v>55</v>
      </c>
      <c r="I4" t="s">
        <v>282</v>
      </c>
      <c r="J4" s="4">
        <v>296522</v>
      </c>
      <c r="K4" s="1">
        <f t="shared" si="3"/>
        <v>141</v>
      </c>
      <c r="L4" s="3">
        <f t="shared" si="4"/>
        <v>76.811594202898547</v>
      </c>
      <c r="M4" s="1">
        <f t="shared" si="5"/>
        <v>154</v>
      </c>
      <c r="N4" s="6">
        <f t="shared" si="6"/>
        <v>0.71727624576681182</v>
      </c>
      <c r="O4" s="1">
        <f t="shared" si="7"/>
        <v>3</v>
      </c>
      <c r="P4" s="1" t="s">
        <v>607</v>
      </c>
      <c r="Q4">
        <v>1973</v>
      </c>
      <c r="R4">
        <v>2026</v>
      </c>
    </row>
    <row r="5" spans="1:19" x14ac:dyDescent="0.2">
      <c r="A5" s="2" t="s">
        <v>42</v>
      </c>
      <c r="B5" s="11">
        <v>8958</v>
      </c>
      <c r="C5" s="1">
        <f t="shared" si="0"/>
        <v>147</v>
      </c>
      <c r="D5" s="1">
        <v>1088000</v>
      </c>
      <c r="E5" s="1">
        <f t="shared" si="1"/>
        <v>158</v>
      </c>
      <c r="F5" s="12" t="s">
        <v>403</v>
      </c>
      <c r="G5">
        <v>1977</v>
      </c>
      <c r="H5" s="1">
        <f t="shared" si="2"/>
        <v>43</v>
      </c>
      <c r="I5" t="s">
        <v>243</v>
      </c>
      <c r="J5" s="4">
        <v>776966</v>
      </c>
      <c r="K5" s="1">
        <f t="shared" si="3"/>
        <v>104</v>
      </c>
      <c r="L5" s="3">
        <f t="shared" si="4"/>
        <v>121.45568207189105</v>
      </c>
      <c r="M5" s="1">
        <f t="shared" si="5"/>
        <v>138</v>
      </c>
      <c r="N5" s="6">
        <f t="shared" si="6"/>
        <v>0.71412316176470592</v>
      </c>
      <c r="O5" s="1">
        <f t="shared" si="7"/>
        <v>4</v>
      </c>
      <c r="P5" s="1" t="s">
        <v>608</v>
      </c>
      <c r="Q5">
        <v>1977</v>
      </c>
      <c r="R5">
        <v>2026</v>
      </c>
    </row>
    <row r="6" spans="1:19" x14ac:dyDescent="0.2">
      <c r="A6" s="2" t="s">
        <v>169</v>
      </c>
      <c r="B6" s="11">
        <v>10.14</v>
      </c>
      <c r="C6" s="1">
        <f t="shared" si="0"/>
        <v>193</v>
      </c>
      <c r="D6" s="1">
        <v>9700</v>
      </c>
      <c r="E6" s="1">
        <f t="shared" si="1"/>
        <v>195</v>
      </c>
      <c r="F6" s="12" t="s">
        <v>404</v>
      </c>
      <c r="G6">
        <v>1978</v>
      </c>
      <c r="H6" s="1">
        <f t="shared" si="2"/>
        <v>40</v>
      </c>
      <c r="I6" t="s">
        <v>384</v>
      </c>
      <c r="J6" s="4">
        <v>6602</v>
      </c>
      <c r="K6" s="1">
        <f t="shared" si="3"/>
        <v>188</v>
      </c>
      <c r="L6" s="3">
        <f t="shared" si="4"/>
        <v>956.60749506903346</v>
      </c>
      <c r="M6" s="1">
        <f t="shared" si="5"/>
        <v>23</v>
      </c>
      <c r="N6" s="6">
        <f t="shared" si="6"/>
        <v>0.68061855670103089</v>
      </c>
      <c r="O6" s="1">
        <f t="shared" si="7"/>
        <v>5</v>
      </c>
      <c r="P6" s="1" t="s">
        <v>609</v>
      </c>
      <c r="Q6">
        <v>1978</v>
      </c>
      <c r="R6">
        <v>2026</v>
      </c>
    </row>
    <row r="7" spans="1:19" x14ac:dyDescent="0.2">
      <c r="A7" s="2" t="s">
        <v>82</v>
      </c>
      <c r="B7" s="11">
        <v>6880</v>
      </c>
      <c r="C7" s="1">
        <f t="shared" si="0"/>
        <v>153</v>
      </c>
      <c r="D7" s="1">
        <v>5098000</v>
      </c>
      <c r="E7" s="1">
        <f t="shared" si="1"/>
        <v>126</v>
      </c>
      <c r="F7" s="12" t="s">
        <v>405</v>
      </c>
      <c r="G7">
        <v>1961</v>
      </c>
      <c r="H7" s="1">
        <f t="shared" si="2"/>
        <v>90</v>
      </c>
      <c r="I7" t="s">
        <v>297</v>
      </c>
      <c r="J7" s="4">
        <v>3405000</v>
      </c>
      <c r="K7" s="1">
        <f t="shared" si="3"/>
        <v>31</v>
      </c>
      <c r="L7" s="3">
        <f t="shared" si="4"/>
        <v>740.98837209302326</v>
      </c>
      <c r="M7" s="1">
        <f t="shared" si="5"/>
        <v>33</v>
      </c>
      <c r="N7" s="6">
        <f t="shared" si="6"/>
        <v>0.66790898391526088</v>
      </c>
      <c r="O7" s="1">
        <f t="shared" si="7"/>
        <v>6</v>
      </c>
      <c r="P7" s="1" t="s">
        <v>605</v>
      </c>
      <c r="Q7">
        <v>1961</v>
      </c>
      <c r="R7">
        <v>2026</v>
      </c>
    </row>
    <row r="8" spans="1:19" x14ac:dyDescent="0.2">
      <c r="A8" s="2" t="s">
        <v>99</v>
      </c>
      <c r="B8" s="11">
        <v>70</v>
      </c>
      <c r="C8" s="1">
        <f t="shared" si="0"/>
        <v>190</v>
      </c>
      <c r="D8" s="1">
        <v>38900</v>
      </c>
      <c r="E8" s="1">
        <f t="shared" si="1"/>
        <v>190</v>
      </c>
      <c r="F8" s="12" t="s">
        <v>406</v>
      </c>
      <c r="G8">
        <v>1979</v>
      </c>
      <c r="H8" s="1">
        <f t="shared" si="2"/>
        <v>35</v>
      </c>
      <c r="I8" t="s">
        <v>313</v>
      </c>
      <c r="J8" s="4">
        <v>23156</v>
      </c>
      <c r="K8" s="1">
        <f t="shared" si="3"/>
        <v>180</v>
      </c>
      <c r="L8" s="3">
        <f t="shared" si="4"/>
        <v>555.71428571428567</v>
      </c>
      <c r="M8" s="1">
        <f t="shared" si="5"/>
        <v>48</v>
      </c>
      <c r="N8" s="6">
        <f t="shared" si="6"/>
        <v>0.59526992287917735</v>
      </c>
      <c r="O8" s="1">
        <f t="shared" si="7"/>
        <v>7</v>
      </c>
      <c r="P8" s="1" t="s">
        <v>609</v>
      </c>
      <c r="Q8">
        <v>1979</v>
      </c>
      <c r="R8">
        <v>2026</v>
      </c>
    </row>
    <row r="9" spans="1:19" x14ac:dyDescent="0.2">
      <c r="A9" s="2" t="s">
        <v>80</v>
      </c>
      <c r="B9" s="11">
        <v>313</v>
      </c>
      <c r="C9" s="1">
        <f t="shared" si="0"/>
        <v>173</v>
      </c>
      <c r="D9" s="1">
        <v>128800</v>
      </c>
      <c r="E9" s="1">
        <f t="shared" si="1"/>
        <v>179</v>
      </c>
      <c r="F9" s="12" t="s">
        <v>407</v>
      </c>
      <c r="G9">
        <v>1979</v>
      </c>
      <c r="H9" s="1">
        <f t="shared" si="2"/>
        <v>35</v>
      </c>
      <c r="I9" t="s">
        <v>295</v>
      </c>
      <c r="J9" s="4">
        <v>70480</v>
      </c>
      <c r="K9" s="1">
        <f t="shared" si="3"/>
        <v>170</v>
      </c>
      <c r="L9" s="3">
        <f t="shared" si="4"/>
        <v>411.50159744408944</v>
      </c>
      <c r="M9" s="1">
        <f t="shared" si="5"/>
        <v>57</v>
      </c>
      <c r="N9" s="6">
        <f t="shared" si="6"/>
        <v>0.54720496894409942</v>
      </c>
      <c r="O9" s="1">
        <f t="shared" si="7"/>
        <v>8</v>
      </c>
      <c r="P9" s="1" t="s">
        <v>609</v>
      </c>
      <c r="Q9">
        <v>1979</v>
      </c>
      <c r="R9">
        <v>2026</v>
      </c>
    </row>
    <row r="10" spans="1:19" x14ac:dyDescent="0.2">
      <c r="A10" s="2" t="s">
        <v>105</v>
      </c>
      <c r="B10" s="11">
        <v>603908</v>
      </c>
      <c r="C10" s="1">
        <f t="shared" si="0"/>
        <v>18</v>
      </c>
      <c r="D10" s="1">
        <v>3569000</v>
      </c>
      <c r="E10" s="1">
        <f t="shared" si="1"/>
        <v>131</v>
      </c>
      <c r="F10" s="12" t="s">
        <v>408</v>
      </c>
      <c r="G10">
        <v>1924</v>
      </c>
      <c r="H10" s="1">
        <f t="shared" si="2"/>
        <v>138</v>
      </c>
      <c r="I10" t="s">
        <v>318</v>
      </c>
      <c r="J10" s="4">
        <v>1672627</v>
      </c>
      <c r="K10" s="1">
        <f t="shared" si="3"/>
        <v>65</v>
      </c>
      <c r="L10" s="3">
        <f t="shared" si="4"/>
        <v>5.9098405717427154</v>
      </c>
      <c r="M10" s="1">
        <f t="shared" si="5"/>
        <v>196</v>
      </c>
      <c r="N10" s="6">
        <f t="shared" si="6"/>
        <v>0.46865424488652285</v>
      </c>
      <c r="O10" s="1">
        <f t="shared" si="7"/>
        <v>9</v>
      </c>
      <c r="P10" s="1" t="s">
        <v>605</v>
      </c>
      <c r="Q10">
        <v>1924</v>
      </c>
      <c r="R10">
        <v>2026</v>
      </c>
    </row>
    <row r="11" spans="1:19" x14ac:dyDescent="0.2">
      <c r="A11" s="2" t="s">
        <v>11</v>
      </c>
      <c r="B11" s="11">
        <v>304</v>
      </c>
      <c r="C11" s="1">
        <f t="shared" si="0"/>
        <v>174</v>
      </c>
      <c r="D11" s="1">
        <v>1628000</v>
      </c>
      <c r="E11" s="1">
        <f t="shared" si="1"/>
        <v>150</v>
      </c>
      <c r="F11" s="12" t="s">
        <v>409</v>
      </c>
      <c r="G11">
        <v>1971</v>
      </c>
      <c r="H11" s="1">
        <f t="shared" si="2"/>
        <v>57</v>
      </c>
      <c r="I11" t="s">
        <v>202</v>
      </c>
      <c r="J11" s="4">
        <v>743066</v>
      </c>
      <c r="K11" s="1">
        <f t="shared" si="3"/>
        <v>109</v>
      </c>
      <c r="L11" s="3">
        <f t="shared" si="4"/>
        <v>5355.2631578947367</v>
      </c>
      <c r="M11" s="1">
        <f t="shared" si="5"/>
        <v>3</v>
      </c>
      <c r="N11" s="6">
        <f t="shared" si="6"/>
        <v>0.45642874692874691</v>
      </c>
      <c r="O11" s="1">
        <f t="shared" si="7"/>
        <v>10</v>
      </c>
      <c r="P11" s="1" t="s">
        <v>605</v>
      </c>
      <c r="Q11">
        <v>1971</v>
      </c>
      <c r="R11">
        <v>2026</v>
      </c>
    </row>
    <row r="12" spans="1:19" x14ac:dyDescent="0.2">
      <c r="A12" s="2" t="s">
        <v>13</v>
      </c>
      <c r="B12" s="11">
        <v>167</v>
      </c>
      <c r="C12" s="1">
        <f t="shared" si="0"/>
        <v>184</v>
      </c>
      <c r="D12" s="1">
        <v>264300</v>
      </c>
      <c r="E12" s="1">
        <f t="shared" si="1"/>
        <v>175</v>
      </c>
      <c r="F12" s="12" t="s">
        <v>410</v>
      </c>
      <c r="G12">
        <v>1966</v>
      </c>
      <c r="H12" s="1">
        <f t="shared" si="2"/>
        <v>68</v>
      </c>
      <c r="I12" t="s">
        <v>204</v>
      </c>
      <c r="J12" s="4">
        <v>110000</v>
      </c>
      <c r="K12" s="1">
        <f t="shared" si="3"/>
        <v>163</v>
      </c>
      <c r="L12" s="3">
        <f t="shared" si="4"/>
        <v>1582.6347305389222</v>
      </c>
      <c r="M12" s="1">
        <f t="shared" si="5"/>
        <v>10</v>
      </c>
      <c r="N12" s="6">
        <f t="shared" si="6"/>
        <v>0.41619371925841847</v>
      </c>
      <c r="O12" s="1">
        <f t="shared" si="7"/>
        <v>11</v>
      </c>
      <c r="P12" s="1" t="s">
        <v>607</v>
      </c>
      <c r="Q12">
        <v>1966</v>
      </c>
      <c r="R12">
        <v>2026</v>
      </c>
    </row>
    <row r="13" spans="1:19" x14ac:dyDescent="0.2">
      <c r="A13" s="2" t="s">
        <v>77</v>
      </c>
      <c r="B13" s="11">
        <v>34284</v>
      </c>
      <c r="C13" s="1">
        <f t="shared" si="0"/>
        <v>110</v>
      </c>
      <c r="D13" s="1">
        <v>11845000</v>
      </c>
      <c r="E13" s="1">
        <f t="shared" si="1"/>
        <v>85</v>
      </c>
      <c r="F13" s="12" t="s">
        <v>411</v>
      </c>
      <c r="G13">
        <v>1946</v>
      </c>
      <c r="H13" s="1">
        <f t="shared" si="2"/>
        <v>127</v>
      </c>
      <c r="I13" t="s">
        <v>291</v>
      </c>
      <c r="J13" s="4">
        <v>4920100</v>
      </c>
      <c r="K13" s="1">
        <f t="shared" si="3"/>
        <v>24</v>
      </c>
      <c r="L13" s="3">
        <f t="shared" si="4"/>
        <v>345.49644148874108</v>
      </c>
      <c r="M13" s="1">
        <f t="shared" si="5"/>
        <v>69</v>
      </c>
      <c r="N13" s="6">
        <f t="shared" si="6"/>
        <v>0.4153735753482482</v>
      </c>
      <c r="O13" s="1">
        <f t="shared" si="7"/>
        <v>12</v>
      </c>
      <c r="P13" s="1" t="s">
        <v>605</v>
      </c>
      <c r="Q13">
        <v>1946</v>
      </c>
      <c r="R13">
        <v>2026</v>
      </c>
    </row>
    <row r="14" spans="1:19" x14ac:dyDescent="0.2">
      <c r="A14" s="2" t="s">
        <v>7</v>
      </c>
      <c r="B14" s="11">
        <v>11484</v>
      </c>
      <c r="C14" s="1">
        <f t="shared" si="0"/>
        <v>140</v>
      </c>
      <c r="D14" s="1">
        <v>2646000</v>
      </c>
      <c r="E14" s="1">
        <f t="shared" si="1"/>
        <v>139</v>
      </c>
      <c r="F14" s="12" t="s">
        <v>412</v>
      </c>
      <c r="G14">
        <v>1991</v>
      </c>
      <c r="H14" s="1">
        <f t="shared" si="2"/>
        <v>8</v>
      </c>
      <c r="I14" t="s">
        <v>198</v>
      </c>
      <c r="J14" s="4">
        <v>1086677</v>
      </c>
      <c r="K14" s="1">
        <f t="shared" si="3"/>
        <v>88</v>
      </c>
      <c r="L14" s="3">
        <f t="shared" si="4"/>
        <v>230.4075235109718</v>
      </c>
      <c r="M14" s="1">
        <f t="shared" si="5"/>
        <v>99</v>
      </c>
      <c r="N14" s="6">
        <f t="shared" si="6"/>
        <v>0.41068669690098264</v>
      </c>
      <c r="O14" s="1">
        <f t="shared" si="7"/>
        <v>13</v>
      </c>
      <c r="P14" s="1" t="s">
        <v>605</v>
      </c>
      <c r="Q14">
        <v>1991</v>
      </c>
      <c r="R14">
        <v>2026</v>
      </c>
    </row>
    <row r="15" spans="1:19" x14ac:dyDescent="0.2">
      <c r="A15" s="2" t="s">
        <v>155</v>
      </c>
      <c r="B15" s="11">
        <v>63251</v>
      </c>
      <c r="C15" s="1">
        <f t="shared" si="0"/>
        <v>90</v>
      </c>
      <c r="D15" s="1">
        <v>651700</v>
      </c>
      <c r="E15" s="1">
        <f t="shared" si="1"/>
        <v>165</v>
      </c>
      <c r="F15" s="12" t="s">
        <v>413</v>
      </c>
      <c r="G15">
        <v>1975</v>
      </c>
      <c r="H15" s="1">
        <f t="shared" si="2"/>
        <v>46</v>
      </c>
      <c r="I15" t="s">
        <v>368</v>
      </c>
      <c r="J15" s="4">
        <v>252581</v>
      </c>
      <c r="K15" s="1">
        <f t="shared" si="3"/>
        <v>146</v>
      </c>
      <c r="L15" s="3">
        <f t="shared" si="4"/>
        <v>10.303394412736557</v>
      </c>
      <c r="M15" s="1">
        <f t="shared" si="5"/>
        <v>191</v>
      </c>
      <c r="N15" s="6">
        <f t="shared" si="6"/>
        <v>0.38757250268528465</v>
      </c>
      <c r="O15" s="1">
        <f t="shared" si="7"/>
        <v>14</v>
      </c>
      <c r="P15" s="1" t="s">
        <v>610</v>
      </c>
      <c r="Q15">
        <v>1975</v>
      </c>
      <c r="R15">
        <v>2026</v>
      </c>
    </row>
    <row r="16" spans="1:19" x14ac:dyDescent="0.2">
      <c r="A16" s="2" t="s">
        <v>96</v>
      </c>
      <c r="B16" s="11">
        <v>115</v>
      </c>
      <c r="C16" s="1">
        <f t="shared" si="0"/>
        <v>188</v>
      </c>
      <c r="D16" s="1">
        <v>561900</v>
      </c>
      <c r="E16" s="1">
        <f t="shared" si="1"/>
        <v>168</v>
      </c>
      <c r="F16" s="12" t="s">
        <v>414</v>
      </c>
      <c r="G16">
        <v>1965</v>
      </c>
      <c r="H16" s="1">
        <f t="shared" si="2"/>
        <v>73</v>
      </c>
      <c r="I16" t="s">
        <v>310</v>
      </c>
      <c r="J16" s="4">
        <v>211908</v>
      </c>
      <c r="K16" s="1">
        <f t="shared" si="3"/>
        <v>150</v>
      </c>
      <c r="L16" s="3">
        <f t="shared" si="4"/>
        <v>4886.086956521739</v>
      </c>
      <c r="M16" s="1">
        <f t="shared" si="5"/>
        <v>4</v>
      </c>
      <c r="N16" s="6">
        <f t="shared" si="6"/>
        <v>0.3771276027762947</v>
      </c>
      <c r="O16" s="1">
        <f t="shared" si="7"/>
        <v>15</v>
      </c>
      <c r="P16" s="1" t="s">
        <v>605</v>
      </c>
      <c r="Q16">
        <v>1965</v>
      </c>
      <c r="R16">
        <v>2026</v>
      </c>
    </row>
    <row r="17" spans="1:18" x14ac:dyDescent="0.2">
      <c r="A17" s="2" t="s">
        <v>129</v>
      </c>
      <c r="B17" s="11">
        <v>4493</v>
      </c>
      <c r="C17" s="1">
        <f t="shared" si="0"/>
        <v>159</v>
      </c>
      <c r="D17" s="1">
        <v>3168000</v>
      </c>
      <c r="E17" s="1">
        <f t="shared" si="1"/>
        <v>135</v>
      </c>
      <c r="F17" s="12" t="s">
        <v>415</v>
      </c>
      <c r="G17">
        <v>1971</v>
      </c>
      <c r="H17" s="1">
        <f t="shared" si="2"/>
        <v>57</v>
      </c>
      <c r="I17" t="s">
        <v>344</v>
      </c>
      <c r="J17" s="4">
        <v>1186023</v>
      </c>
      <c r="K17" s="1">
        <f t="shared" si="3"/>
        <v>83</v>
      </c>
      <c r="L17" s="3">
        <f t="shared" si="4"/>
        <v>705.0968172713109</v>
      </c>
      <c r="M17" s="1">
        <f t="shared" si="5"/>
        <v>35</v>
      </c>
      <c r="N17" s="6">
        <f t="shared" si="6"/>
        <v>0.37437594696969695</v>
      </c>
      <c r="O17" s="1">
        <f t="shared" si="7"/>
        <v>16</v>
      </c>
      <c r="P17" s="1" t="s">
        <v>605</v>
      </c>
      <c r="Q17">
        <v>1971</v>
      </c>
      <c r="R17">
        <v>2026</v>
      </c>
    </row>
    <row r="18" spans="1:18" x14ac:dyDescent="0.2">
      <c r="A18" s="2" t="s">
        <v>174</v>
      </c>
      <c r="B18" s="11">
        <v>68346</v>
      </c>
      <c r="C18" s="1">
        <f t="shared" si="0"/>
        <v>89</v>
      </c>
      <c r="D18" s="1">
        <v>3473000</v>
      </c>
      <c r="E18" s="1">
        <f t="shared" si="1"/>
        <v>132</v>
      </c>
      <c r="F18" s="12" t="s">
        <v>555</v>
      </c>
      <c r="G18">
        <v>1825</v>
      </c>
      <c r="H18" s="1">
        <f t="shared" si="2"/>
        <v>170</v>
      </c>
      <c r="I18" t="s">
        <v>391</v>
      </c>
      <c r="J18" s="4">
        <v>1287452</v>
      </c>
      <c r="K18" s="1">
        <f t="shared" si="3"/>
        <v>76</v>
      </c>
      <c r="L18" s="3">
        <f t="shared" si="4"/>
        <v>50.814970883445994</v>
      </c>
      <c r="M18" s="1">
        <f t="shared" si="5"/>
        <v>170</v>
      </c>
      <c r="N18" s="6">
        <f t="shared" si="6"/>
        <v>0.37070313849697667</v>
      </c>
      <c r="O18" s="1">
        <f t="shared" si="7"/>
        <v>17</v>
      </c>
      <c r="P18" s="1" t="s">
        <v>610</v>
      </c>
      <c r="Q18">
        <v>1825</v>
      </c>
      <c r="R18">
        <v>2026</v>
      </c>
    </row>
    <row r="19" spans="1:18" x14ac:dyDescent="0.2">
      <c r="A19" s="2" t="s">
        <v>192</v>
      </c>
      <c r="B19" s="11">
        <v>26911</v>
      </c>
      <c r="C19" s="1">
        <f t="shared" si="0"/>
        <v>119</v>
      </c>
      <c r="D19" s="1">
        <v>3633000</v>
      </c>
      <c r="E19" s="1">
        <f t="shared" si="1"/>
        <v>130</v>
      </c>
      <c r="F19" s="12" t="s">
        <v>416</v>
      </c>
      <c r="G19">
        <v>1991</v>
      </c>
      <c r="H19" s="1">
        <f t="shared" si="2"/>
        <v>8</v>
      </c>
      <c r="I19" t="s">
        <v>260</v>
      </c>
      <c r="J19" s="4">
        <v>1330217</v>
      </c>
      <c r="K19" s="1">
        <f t="shared" si="3"/>
        <v>73</v>
      </c>
      <c r="L19" s="3">
        <f t="shared" si="4"/>
        <v>135.00055739288766</v>
      </c>
      <c r="M19" s="1">
        <f t="shared" si="5"/>
        <v>134</v>
      </c>
      <c r="N19" s="6">
        <f t="shared" si="6"/>
        <v>0.36614836223506741</v>
      </c>
      <c r="O19" s="1">
        <f t="shared" si="7"/>
        <v>18</v>
      </c>
      <c r="P19" s="1" t="s">
        <v>605</v>
      </c>
      <c r="Q19">
        <v>1991</v>
      </c>
      <c r="R19">
        <v>2026</v>
      </c>
    </row>
    <row r="20" spans="1:18" x14ac:dyDescent="0.2">
      <c r="A20" s="2" t="s">
        <v>68</v>
      </c>
      <c r="B20" s="11">
        <v>39769</v>
      </c>
      <c r="C20" s="1">
        <f t="shared" si="0"/>
        <v>105</v>
      </c>
      <c r="D20" s="1">
        <v>383100</v>
      </c>
      <c r="E20" s="1">
        <f t="shared" si="1"/>
        <v>173</v>
      </c>
      <c r="F20" s="12" t="s">
        <v>417</v>
      </c>
      <c r="G20">
        <v>1944</v>
      </c>
      <c r="H20" s="1">
        <f t="shared" si="2"/>
        <v>130</v>
      </c>
      <c r="I20" t="s">
        <v>276</v>
      </c>
      <c r="J20" s="4">
        <v>135714</v>
      </c>
      <c r="K20" s="1">
        <f t="shared" si="3"/>
        <v>157</v>
      </c>
      <c r="L20" s="3">
        <f t="shared" si="4"/>
        <v>9.6331313334506774</v>
      </c>
      <c r="M20" s="1">
        <f t="shared" si="5"/>
        <v>193</v>
      </c>
      <c r="N20" s="6">
        <f t="shared" si="6"/>
        <v>0.35425215348472983</v>
      </c>
      <c r="O20" s="1">
        <f t="shared" si="7"/>
        <v>19</v>
      </c>
      <c r="P20" s="1" t="s">
        <v>606</v>
      </c>
      <c r="Q20">
        <v>1944</v>
      </c>
      <c r="R20">
        <v>2026</v>
      </c>
    </row>
    <row r="21" spans="1:18" x14ac:dyDescent="0.2">
      <c r="A21" s="2" t="s">
        <v>51</v>
      </c>
      <c r="B21" s="11">
        <v>17506</v>
      </c>
      <c r="C21" s="1">
        <f t="shared" si="0"/>
        <v>129</v>
      </c>
      <c r="D21" s="1">
        <v>1388000</v>
      </c>
      <c r="E21" s="1">
        <f t="shared" si="1"/>
        <v>153</v>
      </c>
      <c r="F21" s="12" t="s">
        <v>418</v>
      </c>
      <c r="G21">
        <v>1991</v>
      </c>
      <c r="H21" s="1">
        <f t="shared" si="2"/>
        <v>8</v>
      </c>
      <c r="I21" t="s">
        <v>252</v>
      </c>
      <c r="J21" s="4">
        <v>456518</v>
      </c>
      <c r="K21" s="1">
        <f t="shared" si="3"/>
        <v>134</v>
      </c>
      <c r="L21" s="3">
        <f t="shared" si="4"/>
        <v>79.28710156517765</v>
      </c>
      <c r="M21" s="1">
        <f t="shared" si="5"/>
        <v>153</v>
      </c>
      <c r="N21" s="6">
        <f t="shared" si="6"/>
        <v>0.32890345821325651</v>
      </c>
      <c r="O21" s="1">
        <f t="shared" si="7"/>
        <v>20</v>
      </c>
      <c r="P21" s="1" t="s">
        <v>606</v>
      </c>
      <c r="Q21">
        <v>1991</v>
      </c>
      <c r="R21">
        <v>2026</v>
      </c>
    </row>
    <row r="22" spans="1:18" x14ac:dyDescent="0.2">
      <c r="A22" s="2" t="s">
        <v>130</v>
      </c>
      <c r="B22" s="11">
        <v>132047</v>
      </c>
      <c r="C22" s="1">
        <f t="shared" si="0"/>
        <v>65</v>
      </c>
      <c r="D22" s="1">
        <v>6592000</v>
      </c>
      <c r="E22" s="1">
        <f t="shared" si="1"/>
        <v>110</v>
      </c>
      <c r="F22" s="12" t="s">
        <v>419</v>
      </c>
      <c r="G22">
        <v>1960</v>
      </c>
      <c r="H22" s="1">
        <f t="shared" si="2"/>
        <v>92</v>
      </c>
      <c r="I22" t="s">
        <v>345</v>
      </c>
      <c r="J22" s="4">
        <v>2138236</v>
      </c>
      <c r="K22" s="1">
        <f t="shared" si="3"/>
        <v>48</v>
      </c>
      <c r="L22" s="3">
        <f t="shared" si="4"/>
        <v>49.921618817542239</v>
      </c>
      <c r="M22" s="1">
        <f t="shared" si="5"/>
        <v>172</v>
      </c>
      <c r="N22" s="6">
        <f t="shared" si="6"/>
        <v>0.32436832524271847</v>
      </c>
      <c r="O22" s="1">
        <f t="shared" si="7"/>
        <v>21</v>
      </c>
      <c r="P22" s="1" t="s">
        <v>608</v>
      </c>
      <c r="Q22">
        <v>1960</v>
      </c>
      <c r="R22">
        <v>2026</v>
      </c>
    </row>
    <row r="23" spans="1:18" x14ac:dyDescent="0.2">
      <c r="A23" s="2" t="s">
        <v>119</v>
      </c>
      <c r="B23" s="11">
        <v>119499</v>
      </c>
      <c r="C23" s="1">
        <f t="shared" si="0"/>
        <v>71</v>
      </c>
      <c r="D23" s="1">
        <v>5307000</v>
      </c>
      <c r="E23" s="1">
        <f t="shared" si="1"/>
        <v>123</v>
      </c>
      <c r="F23" s="12" t="s">
        <v>556</v>
      </c>
      <c r="G23">
        <v>1696</v>
      </c>
      <c r="H23" s="1">
        <f t="shared" si="2"/>
        <v>184</v>
      </c>
      <c r="I23" t="s">
        <v>334</v>
      </c>
      <c r="J23" s="4">
        <v>1720000</v>
      </c>
      <c r="K23" s="1">
        <f t="shared" si="3"/>
        <v>62</v>
      </c>
      <c r="L23" s="3">
        <f t="shared" si="4"/>
        <v>44.4104134762634</v>
      </c>
      <c r="M23" s="1">
        <f t="shared" si="5"/>
        <v>175</v>
      </c>
      <c r="N23" s="6">
        <f t="shared" si="6"/>
        <v>0.32410024495948747</v>
      </c>
      <c r="O23" s="1">
        <f t="shared" si="7"/>
        <v>22</v>
      </c>
      <c r="P23" s="1" t="s">
        <v>605</v>
      </c>
      <c r="Q23">
        <v>1696</v>
      </c>
      <c r="R23">
        <v>2026</v>
      </c>
    </row>
    <row r="24" spans="1:18" x14ac:dyDescent="0.2">
      <c r="A24" s="2" t="s">
        <v>222</v>
      </c>
      <c r="B24" s="11">
        <v>1557</v>
      </c>
      <c r="C24" s="1">
        <f t="shared" si="0"/>
        <v>167</v>
      </c>
      <c r="D24" s="1">
        <v>491100</v>
      </c>
      <c r="E24" s="1">
        <f t="shared" si="1"/>
        <v>169</v>
      </c>
      <c r="F24" s="12" t="s">
        <v>420</v>
      </c>
      <c r="G24">
        <v>1975</v>
      </c>
      <c r="H24" s="1">
        <f t="shared" si="2"/>
        <v>46</v>
      </c>
      <c r="I24" t="s">
        <v>223</v>
      </c>
      <c r="J24" s="4">
        <v>159050</v>
      </c>
      <c r="K24" s="1">
        <f t="shared" si="3"/>
        <v>154</v>
      </c>
      <c r="L24" s="3">
        <f t="shared" si="4"/>
        <v>315.41425818882465</v>
      </c>
      <c r="M24" s="1">
        <f t="shared" si="5"/>
        <v>74</v>
      </c>
      <c r="N24" s="6">
        <f t="shared" si="6"/>
        <v>0.32386479332111584</v>
      </c>
      <c r="O24" s="1">
        <f t="shared" si="7"/>
        <v>23</v>
      </c>
      <c r="P24" s="1" t="s">
        <v>608</v>
      </c>
      <c r="Q24">
        <v>1975</v>
      </c>
      <c r="R24">
        <v>2026</v>
      </c>
    </row>
    <row r="25" spans="1:18" x14ac:dyDescent="0.2">
      <c r="A25" s="2" t="s">
        <v>85</v>
      </c>
      <c r="B25" s="11">
        <v>24940</v>
      </c>
      <c r="C25" s="1">
        <f t="shared" si="0"/>
        <v>122</v>
      </c>
      <c r="D25" s="1">
        <v>1846000</v>
      </c>
      <c r="E25" s="1">
        <f t="shared" si="1"/>
        <v>147</v>
      </c>
      <c r="F25" s="12" t="s">
        <v>421</v>
      </c>
      <c r="G25">
        <v>1991</v>
      </c>
      <c r="H25" s="1">
        <f t="shared" si="2"/>
        <v>8</v>
      </c>
      <c r="I25" t="s">
        <v>300</v>
      </c>
      <c r="J25" s="4">
        <v>591882</v>
      </c>
      <c r="K25" s="1">
        <f t="shared" si="3"/>
        <v>122</v>
      </c>
      <c r="L25" s="3">
        <f t="shared" si="4"/>
        <v>74.01764234161989</v>
      </c>
      <c r="M25" s="1">
        <f t="shared" si="5"/>
        <v>157</v>
      </c>
      <c r="N25" s="6">
        <f t="shared" si="6"/>
        <v>0.32062946912242685</v>
      </c>
      <c r="O25" s="1">
        <f t="shared" si="7"/>
        <v>24</v>
      </c>
      <c r="P25" s="1" t="s">
        <v>606</v>
      </c>
      <c r="Q25">
        <v>1991</v>
      </c>
      <c r="R25">
        <v>2026</v>
      </c>
    </row>
    <row r="26" spans="1:18" x14ac:dyDescent="0.2">
      <c r="A26" s="2" t="s">
        <v>134</v>
      </c>
      <c r="B26" s="11">
        <v>101</v>
      </c>
      <c r="C26" s="1">
        <f t="shared" si="0"/>
        <v>189</v>
      </c>
      <c r="D26" s="1">
        <v>52600</v>
      </c>
      <c r="E26" s="1">
        <f t="shared" si="1"/>
        <v>188</v>
      </c>
      <c r="F26" s="12" t="s">
        <v>422</v>
      </c>
      <c r="G26">
        <v>1983</v>
      </c>
      <c r="H26" s="1">
        <f t="shared" si="2"/>
        <v>30</v>
      </c>
      <c r="I26" t="s">
        <v>349</v>
      </c>
      <c r="J26" s="4">
        <v>16696</v>
      </c>
      <c r="K26" s="1">
        <f t="shared" si="3"/>
        <v>184</v>
      </c>
      <c r="L26" s="3">
        <f t="shared" si="4"/>
        <v>520.79207920792078</v>
      </c>
      <c r="M26" s="1">
        <f t="shared" si="5"/>
        <v>51</v>
      </c>
      <c r="N26" s="6">
        <f t="shared" si="6"/>
        <v>0.31741444866920154</v>
      </c>
      <c r="O26" s="1">
        <f t="shared" si="7"/>
        <v>25</v>
      </c>
      <c r="P26" s="1" t="s">
        <v>607</v>
      </c>
      <c r="Q26">
        <v>1983</v>
      </c>
      <c r="R26">
        <v>2026</v>
      </c>
    </row>
    <row r="27" spans="1:18" x14ac:dyDescent="0.2">
      <c r="A27" s="2" t="s">
        <v>88</v>
      </c>
      <c r="B27" s="11">
        <v>37483</v>
      </c>
      <c r="C27" s="1">
        <f t="shared" si="0"/>
        <v>107</v>
      </c>
      <c r="D27" s="1">
        <v>5655000</v>
      </c>
      <c r="E27" s="1">
        <f t="shared" si="1"/>
        <v>118</v>
      </c>
      <c r="F27" s="12" t="s">
        <v>557</v>
      </c>
      <c r="G27">
        <v>1847</v>
      </c>
      <c r="H27" s="1">
        <f t="shared" si="2"/>
        <v>160</v>
      </c>
      <c r="I27" t="s">
        <v>303</v>
      </c>
      <c r="J27" s="4">
        <v>1761032</v>
      </c>
      <c r="K27" s="1">
        <f t="shared" si="3"/>
        <v>60</v>
      </c>
      <c r="L27" s="3">
        <f t="shared" si="4"/>
        <v>150.86839367179789</v>
      </c>
      <c r="M27" s="1">
        <f t="shared" si="5"/>
        <v>127</v>
      </c>
      <c r="N27" s="6">
        <f t="shared" si="6"/>
        <v>0.31141149425287357</v>
      </c>
      <c r="O27" s="1">
        <f t="shared" si="7"/>
        <v>26</v>
      </c>
      <c r="P27" s="1" t="s">
        <v>608</v>
      </c>
      <c r="Q27">
        <v>1847</v>
      </c>
      <c r="R27">
        <v>2026</v>
      </c>
    </row>
    <row r="28" spans="1:18" x14ac:dyDescent="0.2">
      <c r="A28" s="2" t="s">
        <v>32</v>
      </c>
      <c r="B28" s="11">
        <v>291930</v>
      </c>
      <c r="C28" s="1">
        <f t="shared" si="0"/>
        <v>37</v>
      </c>
      <c r="D28" s="1">
        <v>20213000</v>
      </c>
      <c r="E28" s="1">
        <f t="shared" si="1"/>
        <v>66</v>
      </c>
      <c r="F28" s="12" t="s">
        <v>558</v>
      </c>
      <c r="G28">
        <v>1818</v>
      </c>
      <c r="H28" s="1">
        <f t="shared" si="2"/>
        <v>177</v>
      </c>
      <c r="I28" t="s">
        <v>229</v>
      </c>
      <c r="J28" s="4">
        <v>6269384</v>
      </c>
      <c r="K28" s="1">
        <f t="shared" si="3"/>
        <v>19</v>
      </c>
      <c r="L28" s="3">
        <f t="shared" si="4"/>
        <v>69.239201178364681</v>
      </c>
      <c r="M28" s="1">
        <f t="shared" si="5"/>
        <v>161</v>
      </c>
      <c r="N28" s="6">
        <f t="shared" si="6"/>
        <v>0.31016593281551474</v>
      </c>
      <c r="O28" s="1">
        <f t="shared" si="7"/>
        <v>27</v>
      </c>
      <c r="P28" s="1" t="s">
        <v>610</v>
      </c>
      <c r="Q28">
        <v>1818</v>
      </c>
      <c r="R28">
        <v>2026</v>
      </c>
    </row>
    <row r="29" spans="1:18" x14ac:dyDescent="0.2">
      <c r="A29" s="2" t="s">
        <v>100</v>
      </c>
      <c r="B29" s="11">
        <v>397955</v>
      </c>
      <c r="C29" s="1">
        <f t="shared" si="0"/>
        <v>28</v>
      </c>
      <c r="D29" s="1">
        <v>4690000</v>
      </c>
      <c r="E29" s="1">
        <f t="shared" si="1"/>
        <v>127</v>
      </c>
      <c r="F29" s="12" t="s">
        <v>423</v>
      </c>
      <c r="G29">
        <v>1960</v>
      </c>
      <c r="H29" s="1">
        <f t="shared" si="2"/>
        <v>92</v>
      </c>
      <c r="I29" t="s">
        <v>314</v>
      </c>
      <c r="J29" s="4">
        <v>1446761</v>
      </c>
      <c r="K29" s="1">
        <f t="shared" si="3"/>
        <v>70</v>
      </c>
      <c r="L29" s="3">
        <f t="shared" si="4"/>
        <v>11.785252101368245</v>
      </c>
      <c r="M29" s="1">
        <f t="shared" si="5"/>
        <v>188</v>
      </c>
      <c r="N29" s="6">
        <f t="shared" si="6"/>
        <v>0.30847782515991473</v>
      </c>
      <c r="O29" s="1">
        <f t="shared" si="7"/>
        <v>28</v>
      </c>
      <c r="P29" s="1" t="s">
        <v>608</v>
      </c>
      <c r="Q29">
        <v>1960</v>
      </c>
      <c r="R29">
        <v>2026</v>
      </c>
    </row>
    <row r="30" spans="1:18" x14ac:dyDescent="0.2">
      <c r="A30" s="2" t="s">
        <v>139</v>
      </c>
      <c r="B30" s="11">
        <v>387</v>
      </c>
      <c r="C30" s="1">
        <f t="shared" si="0"/>
        <v>172</v>
      </c>
      <c r="D30" s="1">
        <v>233100</v>
      </c>
      <c r="E30" s="1">
        <f t="shared" si="1"/>
        <v>176</v>
      </c>
      <c r="F30" s="12" t="s">
        <v>424</v>
      </c>
      <c r="G30">
        <v>1975</v>
      </c>
      <c r="H30" s="1">
        <f t="shared" si="2"/>
        <v>46</v>
      </c>
      <c r="I30" t="s">
        <v>353</v>
      </c>
      <c r="J30" s="4">
        <v>71868</v>
      </c>
      <c r="K30" s="1">
        <f t="shared" si="3"/>
        <v>169</v>
      </c>
      <c r="L30" s="3">
        <f t="shared" si="4"/>
        <v>602.32558139534888</v>
      </c>
      <c r="M30" s="1">
        <f t="shared" si="5"/>
        <v>44</v>
      </c>
      <c r="N30" s="6">
        <f t="shared" si="6"/>
        <v>0.30831402831402832</v>
      </c>
      <c r="O30" s="1">
        <f t="shared" si="7"/>
        <v>29</v>
      </c>
      <c r="P30" s="1" t="s">
        <v>608</v>
      </c>
      <c r="Q30">
        <v>1975</v>
      </c>
      <c r="R30">
        <v>2026</v>
      </c>
    </row>
    <row r="31" spans="1:18" x14ac:dyDescent="0.2">
      <c r="A31" s="2" t="s">
        <v>103</v>
      </c>
      <c r="B31" s="11">
        <v>13067</v>
      </c>
      <c r="C31" s="1">
        <f t="shared" si="0"/>
        <v>136</v>
      </c>
      <c r="D31" s="1">
        <v>2407000</v>
      </c>
      <c r="E31" s="1">
        <f t="shared" si="1"/>
        <v>143</v>
      </c>
      <c r="F31" s="12" t="s">
        <v>425</v>
      </c>
      <c r="G31">
        <v>1991</v>
      </c>
      <c r="H31" s="1">
        <f t="shared" si="2"/>
        <v>8</v>
      </c>
      <c r="I31" t="s">
        <v>317</v>
      </c>
      <c r="J31" s="4">
        <v>720128</v>
      </c>
      <c r="K31" s="1">
        <f t="shared" si="3"/>
        <v>112</v>
      </c>
      <c r="L31" s="3">
        <f t="shared" si="4"/>
        <v>184.20448457947501</v>
      </c>
      <c r="M31" s="1">
        <f t="shared" si="5"/>
        <v>114</v>
      </c>
      <c r="N31" s="6">
        <f t="shared" si="6"/>
        <v>0.29918072289156628</v>
      </c>
      <c r="O31" s="1">
        <f t="shared" si="7"/>
        <v>30</v>
      </c>
      <c r="P31" s="1" t="s">
        <v>606</v>
      </c>
      <c r="Q31">
        <v>1991</v>
      </c>
      <c r="R31">
        <v>2026</v>
      </c>
    </row>
    <row r="32" spans="1:18" x14ac:dyDescent="0.2">
      <c r="A32" s="2" t="s">
        <v>125</v>
      </c>
      <c r="B32" s="11">
        <v>496225</v>
      </c>
      <c r="C32" s="1">
        <f t="shared" si="0"/>
        <v>19</v>
      </c>
      <c r="D32" s="1">
        <v>34364000</v>
      </c>
      <c r="E32" s="1">
        <f t="shared" si="1"/>
        <v>44</v>
      </c>
      <c r="F32" s="12" t="s">
        <v>559</v>
      </c>
      <c r="G32">
        <v>1824</v>
      </c>
      <c r="H32" s="1">
        <f t="shared" si="2"/>
        <v>173</v>
      </c>
      <c r="I32" t="s">
        <v>340</v>
      </c>
      <c r="J32" s="4">
        <v>10092000</v>
      </c>
      <c r="K32" s="1">
        <f t="shared" si="3"/>
        <v>8</v>
      </c>
      <c r="L32" s="3">
        <f t="shared" si="4"/>
        <v>69.250843871227772</v>
      </c>
      <c r="M32" s="1">
        <f t="shared" si="5"/>
        <v>160</v>
      </c>
      <c r="N32" s="6">
        <f t="shared" si="6"/>
        <v>0.2936794319636829</v>
      </c>
      <c r="O32" s="1">
        <f t="shared" si="7"/>
        <v>31</v>
      </c>
      <c r="P32" s="1" t="s">
        <v>610</v>
      </c>
      <c r="Q32">
        <v>1824</v>
      </c>
      <c r="R32">
        <v>2026</v>
      </c>
    </row>
    <row r="33" spans="1:18" x14ac:dyDescent="0.2">
      <c r="A33" s="2" t="s">
        <v>118</v>
      </c>
      <c r="B33" s="11">
        <v>9821</v>
      </c>
      <c r="C33" s="1">
        <f t="shared" si="0"/>
        <v>146</v>
      </c>
      <c r="D33" s="1">
        <v>1819000</v>
      </c>
      <c r="E33" s="1">
        <f t="shared" si="1"/>
        <v>148</v>
      </c>
      <c r="F33" s="12" t="s">
        <v>426</v>
      </c>
      <c r="G33">
        <v>1991</v>
      </c>
      <c r="H33" s="1">
        <f t="shared" si="2"/>
        <v>8</v>
      </c>
      <c r="I33" t="s">
        <v>332</v>
      </c>
      <c r="J33" s="4">
        <v>526502</v>
      </c>
      <c r="K33" s="1">
        <f t="shared" si="3"/>
        <v>124</v>
      </c>
      <c r="L33" s="3">
        <f t="shared" si="4"/>
        <v>185.21535485184808</v>
      </c>
      <c r="M33" s="1">
        <f t="shared" si="5"/>
        <v>112</v>
      </c>
      <c r="N33" s="6">
        <f t="shared" si="6"/>
        <v>0.2894458493677845</v>
      </c>
      <c r="O33" s="1">
        <f t="shared" si="7"/>
        <v>32</v>
      </c>
      <c r="P33" s="1" t="s">
        <v>606</v>
      </c>
      <c r="Q33">
        <v>1991</v>
      </c>
      <c r="R33">
        <v>2026</v>
      </c>
    </row>
    <row r="34" spans="1:18" x14ac:dyDescent="0.2">
      <c r="A34" s="2" t="s">
        <v>60</v>
      </c>
      <c r="B34" s="11">
        <v>133</v>
      </c>
      <c r="C34" s="1">
        <f t="shared" ref="C34:C65" si="8">RANK(B34,B$2:B$197)</f>
        <v>186</v>
      </c>
      <c r="D34" s="1">
        <v>117100</v>
      </c>
      <c r="E34" s="1">
        <f t="shared" ref="E34:E65" si="9">RANK(D34,D$2:D$197)</f>
        <v>180</v>
      </c>
      <c r="F34" s="12" t="s">
        <v>427</v>
      </c>
      <c r="G34">
        <v>1974</v>
      </c>
      <c r="H34" s="1">
        <f t="shared" ref="H34:H65" si="10">RANK(G34,G$2:G$197)</f>
        <v>54</v>
      </c>
      <c r="I34" t="s">
        <v>264</v>
      </c>
      <c r="J34" s="4">
        <v>33734</v>
      </c>
      <c r="K34" s="1">
        <f t="shared" ref="K34:K65" si="11">RANK(J34,J$2:J$197)</f>
        <v>175</v>
      </c>
      <c r="L34" s="3">
        <f t="shared" ref="L34:L65" si="12">D34/B34</f>
        <v>880.4511278195489</v>
      </c>
      <c r="M34" s="1">
        <f t="shared" ref="M34:M65" si="13">RANK(L34,L$2:L$197)</f>
        <v>24</v>
      </c>
      <c r="N34" s="6">
        <f t="shared" ref="N34:N65" si="14">J34/D34</f>
        <v>0.28807856532877885</v>
      </c>
      <c r="O34" s="1">
        <f t="shared" ref="O34:O65" si="15">RANK(N34,N$2:N$197)</f>
        <v>33</v>
      </c>
      <c r="P34" s="1" t="s">
        <v>607</v>
      </c>
      <c r="Q34">
        <v>1974</v>
      </c>
      <c r="R34">
        <v>2026</v>
      </c>
    </row>
    <row r="35" spans="1:18" x14ac:dyDescent="0.2">
      <c r="A35" s="2" t="s">
        <v>142</v>
      </c>
      <c r="B35" s="11">
        <v>172</v>
      </c>
      <c r="C35" s="1">
        <f t="shared" si="8"/>
        <v>182</v>
      </c>
      <c r="D35" s="1">
        <v>106100</v>
      </c>
      <c r="E35" s="1">
        <f t="shared" si="9"/>
        <v>182</v>
      </c>
      <c r="F35" s="12" t="s">
        <v>428</v>
      </c>
      <c r="G35">
        <v>1976</v>
      </c>
      <c r="H35" s="1">
        <f t="shared" si="10"/>
        <v>44</v>
      </c>
      <c r="I35" t="s">
        <v>357</v>
      </c>
      <c r="J35" s="4">
        <v>30145</v>
      </c>
      <c r="K35" s="1">
        <f t="shared" si="11"/>
        <v>177</v>
      </c>
      <c r="L35" s="3">
        <f t="shared" si="12"/>
        <v>616.8604651162791</v>
      </c>
      <c r="M35" s="1">
        <f t="shared" si="13"/>
        <v>41</v>
      </c>
      <c r="N35" s="6">
        <f t="shared" si="14"/>
        <v>0.28411875589066921</v>
      </c>
      <c r="O35" s="1">
        <f t="shared" si="15"/>
        <v>34</v>
      </c>
      <c r="P35" s="1" t="s">
        <v>608</v>
      </c>
      <c r="Q35">
        <v>1976</v>
      </c>
      <c r="R35">
        <v>2026</v>
      </c>
    </row>
    <row r="36" spans="1:18" x14ac:dyDescent="0.2">
      <c r="A36" s="2" t="s">
        <v>56</v>
      </c>
      <c r="B36" s="11">
        <v>103347</v>
      </c>
      <c r="C36" s="1">
        <f t="shared" si="8"/>
        <v>74</v>
      </c>
      <c r="D36" s="1">
        <v>2489000</v>
      </c>
      <c r="E36" s="1">
        <f t="shared" si="9"/>
        <v>140</v>
      </c>
      <c r="F36" s="12" t="s">
        <v>429</v>
      </c>
      <c r="G36">
        <v>1958</v>
      </c>
      <c r="H36" s="1">
        <f t="shared" si="10"/>
        <v>107</v>
      </c>
      <c r="I36" t="s">
        <v>259</v>
      </c>
      <c r="J36" s="4">
        <v>703904</v>
      </c>
      <c r="K36" s="1">
        <f t="shared" si="11"/>
        <v>113</v>
      </c>
      <c r="L36" s="3">
        <f t="shared" si="12"/>
        <v>24.083911482674871</v>
      </c>
      <c r="M36" s="1">
        <f t="shared" si="13"/>
        <v>184</v>
      </c>
      <c r="N36" s="6">
        <f t="shared" si="14"/>
        <v>0.28280594616311772</v>
      </c>
      <c r="O36" s="1">
        <f t="shared" si="15"/>
        <v>35</v>
      </c>
      <c r="P36" s="1" t="s">
        <v>608</v>
      </c>
      <c r="Q36">
        <v>1958</v>
      </c>
      <c r="R36">
        <v>2026</v>
      </c>
    </row>
    <row r="37" spans="1:18" x14ac:dyDescent="0.2">
      <c r="A37" s="2" t="s">
        <v>164</v>
      </c>
      <c r="B37" s="11">
        <v>251</v>
      </c>
      <c r="C37" s="1">
        <f t="shared" si="8"/>
        <v>178</v>
      </c>
      <c r="D37" s="1">
        <v>97900</v>
      </c>
      <c r="E37" s="1">
        <f t="shared" si="9"/>
        <v>185</v>
      </c>
      <c r="F37" s="12" t="s">
        <v>430</v>
      </c>
      <c r="G37">
        <v>1970</v>
      </c>
      <c r="H37" s="1">
        <f t="shared" si="10"/>
        <v>62</v>
      </c>
      <c r="I37" t="s">
        <v>379</v>
      </c>
      <c r="J37" s="4">
        <v>27600</v>
      </c>
      <c r="K37" s="1">
        <f t="shared" si="11"/>
        <v>179</v>
      </c>
      <c r="L37" s="3">
        <f t="shared" si="12"/>
        <v>390.0398406374502</v>
      </c>
      <c r="M37" s="1">
        <f t="shared" si="13"/>
        <v>60</v>
      </c>
      <c r="N37" s="6">
        <f t="shared" si="14"/>
        <v>0.28192032686414709</v>
      </c>
      <c r="O37" s="1">
        <f t="shared" si="15"/>
        <v>36</v>
      </c>
      <c r="P37" s="1" t="s">
        <v>609</v>
      </c>
      <c r="Q37">
        <v>1970</v>
      </c>
      <c r="R37">
        <v>2026</v>
      </c>
    </row>
    <row r="38" spans="1:18" x14ac:dyDescent="0.2">
      <c r="A38" s="2" t="s">
        <v>106</v>
      </c>
      <c r="B38" s="11">
        <v>5360</v>
      </c>
      <c r="C38" s="1">
        <f t="shared" si="8"/>
        <v>157</v>
      </c>
      <c r="D38" s="1">
        <v>614200</v>
      </c>
      <c r="E38" s="1">
        <f t="shared" si="9"/>
        <v>166</v>
      </c>
      <c r="F38" s="12" t="s">
        <v>431</v>
      </c>
      <c r="G38">
        <v>1992</v>
      </c>
      <c r="H38" s="1">
        <f t="shared" si="10"/>
        <v>5</v>
      </c>
      <c r="I38" t="s">
        <v>319</v>
      </c>
      <c r="J38" s="4">
        <v>172139</v>
      </c>
      <c r="K38" s="1">
        <f t="shared" si="11"/>
        <v>153</v>
      </c>
      <c r="L38" s="3">
        <f t="shared" si="12"/>
        <v>114.58955223880596</v>
      </c>
      <c r="M38" s="1">
        <f t="shared" si="13"/>
        <v>142</v>
      </c>
      <c r="N38" s="6">
        <f t="shared" si="14"/>
        <v>0.28026538586779548</v>
      </c>
      <c r="O38" s="1">
        <f t="shared" si="15"/>
        <v>37</v>
      </c>
      <c r="P38" s="1" t="s">
        <v>606</v>
      </c>
      <c r="Q38">
        <v>1992</v>
      </c>
      <c r="R38">
        <v>2026</v>
      </c>
    </row>
    <row r="39" spans="1:18" x14ac:dyDescent="0.2">
      <c r="A39" s="2" t="s">
        <v>63</v>
      </c>
      <c r="B39" s="11">
        <v>13948</v>
      </c>
      <c r="C39" s="1">
        <f t="shared" si="8"/>
        <v>135</v>
      </c>
      <c r="D39" s="1">
        <v>1853000</v>
      </c>
      <c r="E39" s="1">
        <f t="shared" si="9"/>
        <v>146</v>
      </c>
      <c r="F39" s="12" t="s">
        <v>432</v>
      </c>
      <c r="G39">
        <v>1973</v>
      </c>
      <c r="H39" s="1">
        <f t="shared" si="10"/>
        <v>55</v>
      </c>
      <c r="I39" t="s">
        <v>271</v>
      </c>
      <c r="J39" s="4">
        <v>492004</v>
      </c>
      <c r="K39" s="1">
        <f t="shared" si="11"/>
        <v>129</v>
      </c>
      <c r="L39" s="3">
        <f t="shared" si="12"/>
        <v>132.85058789790651</v>
      </c>
      <c r="M39" s="1">
        <f t="shared" si="13"/>
        <v>136</v>
      </c>
      <c r="N39" s="6">
        <f t="shared" si="14"/>
        <v>0.26551753912574205</v>
      </c>
      <c r="O39" s="1">
        <f t="shared" si="15"/>
        <v>38</v>
      </c>
      <c r="P39" s="1" t="s">
        <v>608</v>
      </c>
      <c r="Q39">
        <v>1973</v>
      </c>
      <c r="R39">
        <v>2026</v>
      </c>
    </row>
    <row r="40" spans="1:18" x14ac:dyDescent="0.2">
      <c r="A40" s="2" t="s">
        <v>3</v>
      </c>
      <c r="B40" s="11">
        <v>181</v>
      </c>
      <c r="C40" s="1">
        <f t="shared" si="8"/>
        <v>181</v>
      </c>
      <c r="D40" s="1">
        <v>88800</v>
      </c>
      <c r="E40" s="1">
        <f t="shared" si="9"/>
        <v>186</v>
      </c>
      <c r="F40" s="12" t="s">
        <v>560</v>
      </c>
      <c r="G40">
        <v>1814</v>
      </c>
      <c r="H40" s="1">
        <f t="shared" si="10"/>
        <v>179</v>
      </c>
      <c r="I40" t="s">
        <v>194</v>
      </c>
      <c r="J40" s="4">
        <v>22256</v>
      </c>
      <c r="K40" s="1">
        <f t="shared" si="11"/>
        <v>181</v>
      </c>
      <c r="L40" s="3">
        <f t="shared" si="12"/>
        <v>490.60773480662982</v>
      </c>
      <c r="M40" s="1">
        <f t="shared" si="13"/>
        <v>54</v>
      </c>
      <c r="N40" s="6">
        <f t="shared" si="14"/>
        <v>0.25063063063063062</v>
      </c>
      <c r="O40" s="1">
        <f t="shared" si="15"/>
        <v>39</v>
      </c>
      <c r="P40" s="1" t="s">
        <v>606</v>
      </c>
      <c r="Q40">
        <v>1814</v>
      </c>
      <c r="R40">
        <v>2026</v>
      </c>
    </row>
    <row r="41" spans="1:18" x14ac:dyDescent="0.2">
      <c r="A41" s="2" t="s">
        <v>4</v>
      </c>
      <c r="B41" s="11">
        <v>481353</v>
      </c>
      <c r="C41" s="1">
        <f t="shared" si="8"/>
        <v>22</v>
      </c>
      <c r="D41" s="1">
        <v>36177000</v>
      </c>
      <c r="E41" s="1">
        <f t="shared" si="9"/>
        <v>42</v>
      </c>
      <c r="F41" s="12" t="s">
        <v>433</v>
      </c>
      <c r="G41">
        <v>1975</v>
      </c>
      <c r="H41" s="1">
        <f t="shared" si="10"/>
        <v>46</v>
      </c>
      <c r="I41" t="s">
        <v>195</v>
      </c>
      <c r="J41" s="4">
        <v>8816297</v>
      </c>
      <c r="K41" s="1">
        <f t="shared" si="11"/>
        <v>12</v>
      </c>
      <c r="L41" s="3">
        <f t="shared" si="12"/>
        <v>75.156901483942136</v>
      </c>
      <c r="M41" s="1">
        <f t="shared" si="13"/>
        <v>155</v>
      </c>
      <c r="N41" s="6">
        <f t="shared" si="14"/>
        <v>0.24369895237305469</v>
      </c>
      <c r="O41" s="1">
        <f t="shared" si="15"/>
        <v>40</v>
      </c>
      <c r="P41" s="1" t="s">
        <v>608</v>
      </c>
      <c r="Q41">
        <v>1975</v>
      </c>
      <c r="R41">
        <v>2026</v>
      </c>
    </row>
    <row r="42" spans="1:18" x14ac:dyDescent="0.2">
      <c r="A42" s="2" t="s">
        <v>75</v>
      </c>
      <c r="B42" s="11">
        <v>4227</v>
      </c>
      <c r="C42" s="1">
        <f t="shared" si="8"/>
        <v>160</v>
      </c>
      <c r="D42" s="1">
        <v>2757000</v>
      </c>
      <c r="E42" s="1">
        <f t="shared" si="9"/>
        <v>137</v>
      </c>
      <c r="F42" s="12" t="s">
        <v>434</v>
      </c>
      <c r="G42">
        <v>1962</v>
      </c>
      <c r="H42" s="1">
        <f t="shared" si="10"/>
        <v>84</v>
      </c>
      <c r="I42" t="s">
        <v>289</v>
      </c>
      <c r="J42" s="4">
        <v>662435</v>
      </c>
      <c r="K42" s="1">
        <f t="shared" si="11"/>
        <v>118</v>
      </c>
      <c r="L42" s="3">
        <f t="shared" si="12"/>
        <v>652.23562810503904</v>
      </c>
      <c r="M42" s="1">
        <f t="shared" si="13"/>
        <v>40</v>
      </c>
      <c r="N42" s="6">
        <f t="shared" si="14"/>
        <v>0.24027384838592672</v>
      </c>
      <c r="O42" s="1">
        <f t="shared" si="15"/>
        <v>41</v>
      </c>
      <c r="P42" s="1" t="s">
        <v>607</v>
      </c>
      <c r="Q42">
        <v>1962</v>
      </c>
      <c r="R42">
        <v>2026</v>
      </c>
    </row>
    <row r="43" spans="1:18" x14ac:dyDescent="0.2">
      <c r="A43" s="2" t="s">
        <v>43</v>
      </c>
      <c r="B43" s="11">
        <v>290</v>
      </c>
      <c r="C43" s="1">
        <f t="shared" si="8"/>
        <v>175</v>
      </c>
      <c r="D43" s="1">
        <v>62700</v>
      </c>
      <c r="E43" s="1">
        <f t="shared" si="9"/>
        <v>187</v>
      </c>
      <c r="F43" s="12" t="s">
        <v>435</v>
      </c>
      <c r="G43">
        <v>1978</v>
      </c>
      <c r="H43" s="1">
        <f t="shared" si="10"/>
        <v>40</v>
      </c>
      <c r="I43" t="s">
        <v>244</v>
      </c>
      <c r="J43" s="4">
        <v>14725</v>
      </c>
      <c r="K43" s="1">
        <f t="shared" si="11"/>
        <v>185</v>
      </c>
      <c r="L43" s="3">
        <f t="shared" si="12"/>
        <v>216.20689655172413</v>
      </c>
      <c r="M43" s="1">
        <f t="shared" si="13"/>
        <v>104</v>
      </c>
      <c r="N43" s="6">
        <f t="shared" si="14"/>
        <v>0.23484848484848486</v>
      </c>
      <c r="O43" s="1">
        <f t="shared" si="15"/>
        <v>42</v>
      </c>
      <c r="P43" s="1" t="s">
        <v>607</v>
      </c>
      <c r="Q43">
        <v>1978</v>
      </c>
      <c r="R43">
        <v>2026</v>
      </c>
    </row>
    <row r="44" spans="1:18" x14ac:dyDescent="0.2">
      <c r="A44" s="2" t="s">
        <v>10</v>
      </c>
      <c r="B44" s="11">
        <v>33436</v>
      </c>
      <c r="C44" s="1">
        <f t="shared" si="8"/>
        <v>111</v>
      </c>
      <c r="D44" s="1">
        <v>10262000</v>
      </c>
      <c r="E44" s="1">
        <f t="shared" si="9"/>
        <v>93</v>
      </c>
      <c r="F44" s="12" t="s">
        <v>436</v>
      </c>
      <c r="G44">
        <v>1991</v>
      </c>
      <c r="H44" s="1">
        <f t="shared" si="10"/>
        <v>8</v>
      </c>
      <c r="I44" t="s">
        <v>201</v>
      </c>
      <c r="J44" s="4">
        <v>2344900</v>
      </c>
      <c r="K44" s="1">
        <f t="shared" si="11"/>
        <v>45</v>
      </c>
      <c r="L44" s="3">
        <f t="shared" si="12"/>
        <v>306.91470271563583</v>
      </c>
      <c r="M44" s="1">
        <f t="shared" si="13"/>
        <v>76</v>
      </c>
      <c r="N44" s="6">
        <f t="shared" si="14"/>
        <v>0.22850321574741767</v>
      </c>
      <c r="O44" s="1">
        <f t="shared" si="15"/>
        <v>43</v>
      </c>
      <c r="P44" s="1" t="s">
        <v>605</v>
      </c>
      <c r="Q44">
        <v>1991</v>
      </c>
      <c r="R44">
        <v>2026</v>
      </c>
    </row>
    <row r="45" spans="1:18" x14ac:dyDescent="0.2">
      <c r="A45" s="2" t="s">
        <v>14</v>
      </c>
      <c r="B45" s="11">
        <v>80166</v>
      </c>
      <c r="C45" s="1">
        <f t="shared" si="8"/>
        <v>84</v>
      </c>
      <c r="D45" s="1">
        <v>9089000</v>
      </c>
      <c r="E45" s="1">
        <f t="shared" si="9"/>
        <v>100</v>
      </c>
      <c r="F45" s="12" t="s">
        <v>437</v>
      </c>
      <c r="G45">
        <v>1991</v>
      </c>
      <c r="H45" s="1">
        <f t="shared" si="10"/>
        <v>8</v>
      </c>
      <c r="I45" t="s">
        <v>205</v>
      </c>
      <c r="J45" s="4">
        <v>1996730</v>
      </c>
      <c r="K45" s="1">
        <f t="shared" si="11"/>
        <v>53</v>
      </c>
      <c r="L45" s="3">
        <f t="shared" si="12"/>
        <v>113.37724222238855</v>
      </c>
      <c r="M45" s="1">
        <f t="shared" si="13"/>
        <v>143</v>
      </c>
      <c r="N45" s="6">
        <f t="shared" si="14"/>
        <v>0.21968643415117176</v>
      </c>
      <c r="O45" s="1">
        <f t="shared" si="15"/>
        <v>44</v>
      </c>
      <c r="P45" s="1" t="s">
        <v>606</v>
      </c>
      <c r="Q45">
        <v>1991</v>
      </c>
      <c r="R45">
        <v>2026</v>
      </c>
    </row>
    <row r="46" spans="1:18" x14ac:dyDescent="0.2">
      <c r="A46" s="2" t="s">
        <v>9</v>
      </c>
      <c r="B46" s="11">
        <v>32388</v>
      </c>
      <c r="C46" s="1">
        <f t="shared" si="8"/>
        <v>112</v>
      </c>
      <c r="D46" s="1">
        <v>9240000</v>
      </c>
      <c r="E46" s="1">
        <f t="shared" si="9"/>
        <v>98</v>
      </c>
      <c r="F46" s="12" t="s">
        <v>438</v>
      </c>
      <c r="G46">
        <v>1955</v>
      </c>
      <c r="H46" s="1">
        <f t="shared" si="10"/>
        <v>114</v>
      </c>
      <c r="I46" t="s">
        <v>200</v>
      </c>
      <c r="J46" s="4">
        <v>2028499</v>
      </c>
      <c r="K46" s="1">
        <f t="shared" si="11"/>
        <v>52</v>
      </c>
      <c r="L46" s="3">
        <f t="shared" si="12"/>
        <v>285.29084846239346</v>
      </c>
      <c r="M46" s="1">
        <f t="shared" si="13"/>
        <v>80</v>
      </c>
      <c r="N46" s="6">
        <f t="shared" si="14"/>
        <v>0.21953452380952382</v>
      </c>
      <c r="O46" s="1">
        <f t="shared" si="15"/>
        <v>45</v>
      </c>
      <c r="P46" s="1" t="s">
        <v>606</v>
      </c>
      <c r="Q46">
        <v>1955</v>
      </c>
      <c r="R46">
        <v>2026</v>
      </c>
    </row>
    <row r="47" spans="1:18" x14ac:dyDescent="0.2">
      <c r="A47" s="2" t="s">
        <v>5</v>
      </c>
      <c r="B47" s="11">
        <v>171</v>
      </c>
      <c r="C47" s="1">
        <f t="shared" si="8"/>
        <v>183</v>
      </c>
      <c r="D47" s="1">
        <v>105200</v>
      </c>
      <c r="E47" s="1">
        <f t="shared" si="9"/>
        <v>184</v>
      </c>
      <c r="F47" s="12" t="s">
        <v>439</v>
      </c>
      <c r="G47">
        <v>1981</v>
      </c>
      <c r="H47" s="1">
        <f t="shared" si="10"/>
        <v>31</v>
      </c>
      <c r="I47" t="s">
        <v>196</v>
      </c>
      <c r="J47" s="4">
        <v>22219</v>
      </c>
      <c r="K47" s="1">
        <f t="shared" si="11"/>
        <v>182</v>
      </c>
      <c r="L47" s="3">
        <f t="shared" si="12"/>
        <v>615.20467836257308</v>
      </c>
      <c r="M47" s="1">
        <f t="shared" si="13"/>
        <v>42</v>
      </c>
      <c r="N47" s="6">
        <f t="shared" si="14"/>
        <v>0.21120722433460076</v>
      </c>
      <c r="O47" s="1">
        <f t="shared" si="15"/>
        <v>46</v>
      </c>
      <c r="P47" s="1" t="s">
        <v>607</v>
      </c>
      <c r="Q47">
        <v>1981</v>
      </c>
      <c r="R47">
        <v>2026</v>
      </c>
    </row>
    <row r="48" spans="1:18" x14ac:dyDescent="0.2">
      <c r="A48" s="2" t="s">
        <v>140</v>
      </c>
      <c r="B48" s="11">
        <v>830000</v>
      </c>
      <c r="C48" s="1">
        <f t="shared" si="8"/>
        <v>12</v>
      </c>
      <c r="D48" s="1">
        <v>33607000</v>
      </c>
      <c r="E48" s="1">
        <f t="shared" si="9"/>
        <v>47</v>
      </c>
      <c r="F48" s="12" t="s">
        <v>440</v>
      </c>
      <c r="G48">
        <v>1932</v>
      </c>
      <c r="H48" s="1">
        <f t="shared" si="10"/>
        <v>133</v>
      </c>
      <c r="I48" t="s">
        <v>354</v>
      </c>
      <c r="J48" s="4">
        <v>7009100</v>
      </c>
      <c r="K48" s="1">
        <f t="shared" si="11"/>
        <v>18</v>
      </c>
      <c r="L48" s="3">
        <f t="shared" si="12"/>
        <v>40.49036144578313</v>
      </c>
      <c r="M48" s="1">
        <f t="shared" si="13"/>
        <v>177</v>
      </c>
      <c r="N48" s="6">
        <f t="shared" si="14"/>
        <v>0.20856071651739222</v>
      </c>
      <c r="O48" s="1">
        <f t="shared" si="15"/>
        <v>47</v>
      </c>
      <c r="P48" s="1" t="s">
        <v>605</v>
      </c>
      <c r="Q48">
        <v>1932</v>
      </c>
      <c r="R48">
        <v>2026</v>
      </c>
    </row>
    <row r="49" spans="1:18" x14ac:dyDescent="0.2">
      <c r="A49" s="2" t="s">
        <v>91</v>
      </c>
      <c r="B49" s="11">
        <v>25207</v>
      </c>
      <c r="C49" s="1">
        <f t="shared" si="8"/>
        <v>121</v>
      </c>
      <c r="D49" s="1">
        <v>2925000</v>
      </c>
      <c r="E49" s="1">
        <f t="shared" si="9"/>
        <v>136</v>
      </c>
      <c r="F49" s="12" t="s">
        <v>441</v>
      </c>
      <c r="G49">
        <v>1990</v>
      </c>
      <c r="H49" s="1">
        <f t="shared" si="10"/>
        <v>25</v>
      </c>
      <c r="I49" t="s">
        <v>306</v>
      </c>
      <c r="J49" s="4">
        <v>607667</v>
      </c>
      <c r="K49" s="1">
        <f t="shared" si="11"/>
        <v>120</v>
      </c>
      <c r="L49" s="3">
        <f t="shared" si="12"/>
        <v>116.03919546157813</v>
      </c>
      <c r="M49" s="1">
        <f t="shared" si="13"/>
        <v>141</v>
      </c>
      <c r="N49" s="6">
        <f t="shared" si="14"/>
        <v>0.2077494017094017</v>
      </c>
      <c r="O49" s="1">
        <f t="shared" si="15"/>
        <v>48</v>
      </c>
      <c r="P49" s="1" t="s">
        <v>606</v>
      </c>
      <c r="Q49">
        <v>1990</v>
      </c>
      <c r="R49">
        <v>2026</v>
      </c>
    </row>
    <row r="50" spans="1:18" x14ac:dyDescent="0.2">
      <c r="A50" s="2" t="s">
        <v>24</v>
      </c>
      <c r="B50" s="11">
        <v>42615</v>
      </c>
      <c r="C50" s="1">
        <f t="shared" si="8"/>
        <v>102</v>
      </c>
      <c r="D50" s="1">
        <v>6442000</v>
      </c>
      <c r="E50" s="1">
        <f t="shared" si="9"/>
        <v>111</v>
      </c>
      <c r="F50" s="12" t="s">
        <v>442</v>
      </c>
      <c r="G50">
        <v>1908</v>
      </c>
      <c r="H50" s="1">
        <f t="shared" si="10"/>
        <v>145</v>
      </c>
      <c r="I50" t="s">
        <v>218</v>
      </c>
      <c r="J50" s="4">
        <v>1295591</v>
      </c>
      <c r="K50" s="1">
        <f t="shared" si="11"/>
        <v>75</v>
      </c>
      <c r="L50" s="3">
        <f t="shared" si="12"/>
        <v>151.16742930892877</v>
      </c>
      <c r="M50" s="1">
        <f t="shared" si="13"/>
        <v>126</v>
      </c>
      <c r="N50" s="6">
        <f t="shared" si="14"/>
        <v>0.20111626823967713</v>
      </c>
      <c r="O50" s="1">
        <f t="shared" si="15"/>
        <v>49</v>
      </c>
      <c r="P50" s="1" t="s">
        <v>606</v>
      </c>
      <c r="Q50">
        <v>1908</v>
      </c>
      <c r="R50">
        <v>2026</v>
      </c>
    </row>
    <row r="51" spans="1:18" x14ac:dyDescent="0.2">
      <c r="A51" s="2" t="s">
        <v>37</v>
      </c>
      <c r="B51" s="11">
        <v>21851</v>
      </c>
      <c r="C51" s="1">
        <f t="shared" si="8"/>
        <v>124</v>
      </c>
      <c r="D51" s="1">
        <v>3816000</v>
      </c>
      <c r="E51" s="1">
        <f t="shared" si="9"/>
        <v>129</v>
      </c>
      <c r="F51" s="12" t="s">
        <v>443</v>
      </c>
      <c r="G51">
        <v>1991</v>
      </c>
      <c r="H51" s="1">
        <f t="shared" si="10"/>
        <v>8</v>
      </c>
      <c r="I51" t="s">
        <v>236</v>
      </c>
      <c r="J51" s="4">
        <v>767131</v>
      </c>
      <c r="K51" s="1">
        <f t="shared" si="11"/>
        <v>105</v>
      </c>
      <c r="L51" s="3">
        <f t="shared" si="12"/>
        <v>174.63731636996019</v>
      </c>
      <c r="M51" s="1">
        <f t="shared" si="13"/>
        <v>121</v>
      </c>
      <c r="N51" s="6">
        <f t="shared" si="14"/>
        <v>0.20103013626834382</v>
      </c>
      <c r="O51" s="1">
        <f t="shared" si="15"/>
        <v>50</v>
      </c>
      <c r="P51" s="1" t="s">
        <v>606</v>
      </c>
      <c r="Q51">
        <v>1991</v>
      </c>
      <c r="R51">
        <v>2026</v>
      </c>
    </row>
    <row r="52" spans="1:18" x14ac:dyDescent="0.2">
      <c r="A52" s="2" t="s">
        <v>45</v>
      </c>
      <c r="B52" s="11">
        <v>5772</v>
      </c>
      <c r="C52" s="1">
        <f t="shared" si="8"/>
        <v>155</v>
      </c>
      <c r="D52" s="1">
        <v>1410000</v>
      </c>
      <c r="E52" s="1">
        <f t="shared" si="9"/>
        <v>152</v>
      </c>
      <c r="F52" s="12" t="s">
        <v>444</v>
      </c>
      <c r="G52">
        <v>1975</v>
      </c>
      <c r="H52" s="1">
        <f t="shared" si="10"/>
        <v>46</v>
      </c>
      <c r="I52" t="s">
        <v>246</v>
      </c>
      <c r="J52" s="4">
        <v>277488</v>
      </c>
      <c r="K52" s="1">
        <f t="shared" si="11"/>
        <v>143</v>
      </c>
      <c r="L52" s="3">
        <f t="shared" si="12"/>
        <v>244.28274428274429</v>
      </c>
      <c r="M52" s="1">
        <f t="shared" si="13"/>
        <v>94</v>
      </c>
      <c r="N52" s="6">
        <f t="shared" si="14"/>
        <v>0.1968</v>
      </c>
      <c r="O52" s="1">
        <f t="shared" si="15"/>
        <v>51</v>
      </c>
      <c r="P52" s="1" t="s">
        <v>605</v>
      </c>
      <c r="Q52">
        <v>1975</v>
      </c>
      <c r="R52">
        <v>2026</v>
      </c>
    </row>
    <row r="53" spans="1:18" x14ac:dyDescent="0.2">
      <c r="A53" s="2" t="s">
        <v>1</v>
      </c>
      <c r="B53" s="11">
        <v>11100</v>
      </c>
      <c r="C53" s="1">
        <f t="shared" si="8"/>
        <v>141</v>
      </c>
      <c r="D53" s="1">
        <v>2684000</v>
      </c>
      <c r="E53" s="1">
        <f t="shared" si="9"/>
        <v>138</v>
      </c>
      <c r="F53" s="12" t="s">
        <v>445</v>
      </c>
      <c r="G53">
        <v>1912</v>
      </c>
      <c r="H53" s="1">
        <f t="shared" si="10"/>
        <v>144</v>
      </c>
      <c r="I53" t="s">
        <v>190</v>
      </c>
      <c r="J53" s="4">
        <v>526017</v>
      </c>
      <c r="K53" s="1">
        <f t="shared" si="11"/>
        <v>125</v>
      </c>
      <c r="L53" s="3">
        <f t="shared" si="12"/>
        <v>241.80180180180182</v>
      </c>
      <c r="M53" s="1">
        <f t="shared" si="13"/>
        <v>95</v>
      </c>
      <c r="N53" s="6">
        <f t="shared" si="14"/>
        <v>0.19598248882265276</v>
      </c>
      <c r="O53" s="1">
        <f t="shared" si="15"/>
        <v>52</v>
      </c>
      <c r="P53" s="1" t="s">
        <v>606</v>
      </c>
      <c r="Q53">
        <v>1912</v>
      </c>
      <c r="R53">
        <v>2026</v>
      </c>
    </row>
    <row r="54" spans="1:18" x14ac:dyDescent="0.2">
      <c r="A54" s="2" t="s">
        <v>92</v>
      </c>
      <c r="B54" s="11">
        <v>999</v>
      </c>
      <c r="C54" s="1">
        <f t="shared" si="8"/>
        <v>169</v>
      </c>
      <c r="D54" s="1">
        <v>699000</v>
      </c>
      <c r="E54" s="1">
        <f t="shared" si="9"/>
        <v>164</v>
      </c>
      <c r="F54" s="12" t="s">
        <v>561</v>
      </c>
      <c r="G54">
        <v>1890</v>
      </c>
      <c r="H54" s="1">
        <f t="shared" si="10"/>
        <v>152</v>
      </c>
      <c r="I54" t="s">
        <v>92</v>
      </c>
      <c r="J54" s="4">
        <v>136208</v>
      </c>
      <c r="K54" s="1">
        <f t="shared" si="11"/>
        <v>156</v>
      </c>
      <c r="L54" s="3">
        <f t="shared" si="12"/>
        <v>699.69969969969975</v>
      </c>
      <c r="M54" s="1">
        <f t="shared" si="13"/>
        <v>36</v>
      </c>
      <c r="N54" s="6">
        <f t="shared" si="14"/>
        <v>0.19486123032904148</v>
      </c>
      <c r="O54" s="1">
        <f t="shared" si="15"/>
        <v>53</v>
      </c>
      <c r="P54" s="1" t="s">
        <v>606</v>
      </c>
      <c r="Q54">
        <v>1890</v>
      </c>
      <c r="R54">
        <v>2026</v>
      </c>
    </row>
    <row r="55" spans="1:18" x14ac:dyDescent="0.2">
      <c r="A55" s="2" t="s">
        <v>38</v>
      </c>
      <c r="B55" s="11">
        <v>42426</v>
      </c>
      <c r="C55" s="1">
        <f t="shared" si="8"/>
        <v>103</v>
      </c>
      <c r="D55" s="1">
        <v>11030000</v>
      </c>
      <c r="E55" s="1">
        <f t="shared" si="9"/>
        <v>88</v>
      </c>
      <c r="F55" s="12" t="s">
        <v>446</v>
      </c>
      <c r="G55">
        <v>1902</v>
      </c>
      <c r="H55" s="1">
        <f t="shared" si="10"/>
        <v>149</v>
      </c>
      <c r="I55" t="s">
        <v>237</v>
      </c>
      <c r="J55" s="4">
        <v>2137847</v>
      </c>
      <c r="K55" s="1">
        <f t="shared" si="11"/>
        <v>49</v>
      </c>
      <c r="L55" s="3">
        <f t="shared" si="12"/>
        <v>259.98208645641824</v>
      </c>
      <c r="M55" s="1">
        <f t="shared" si="13"/>
        <v>88</v>
      </c>
      <c r="N55" s="6">
        <f t="shared" si="14"/>
        <v>0.19382112420670897</v>
      </c>
      <c r="O55" s="1">
        <f t="shared" si="15"/>
        <v>54</v>
      </c>
      <c r="P55" s="1" t="s">
        <v>607</v>
      </c>
      <c r="Q55">
        <v>1902</v>
      </c>
      <c r="R55">
        <v>2026</v>
      </c>
    </row>
    <row r="56" spans="1:18" x14ac:dyDescent="0.2">
      <c r="A56" s="2" t="s">
        <v>172</v>
      </c>
      <c r="B56" s="11">
        <v>27423</v>
      </c>
      <c r="C56" s="1">
        <f t="shared" si="8"/>
        <v>118</v>
      </c>
      <c r="D56" s="1">
        <v>11454000</v>
      </c>
      <c r="E56" s="1">
        <f t="shared" si="9"/>
        <v>86</v>
      </c>
      <c r="F56" s="12" t="s">
        <v>447</v>
      </c>
      <c r="G56">
        <v>1971</v>
      </c>
      <c r="H56" s="1">
        <f t="shared" si="10"/>
        <v>57</v>
      </c>
      <c r="I56" t="s">
        <v>387</v>
      </c>
      <c r="J56" s="4">
        <v>2189860</v>
      </c>
      <c r="K56" s="1">
        <f t="shared" si="11"/>
        <v>47</v>
      </c>
      <c r="L56" s="3">
        <f t="shared" si="12"/>
        <v>417.67859096378953</v>
      </c>
      <c r="M56" s="1">
        <f t="shared" si="13"/>
        <v>56</v>
      </c>
      <c r="N56" s="6">
        <f t="shared" si="14"/>
        <v>0.19118735812816484</v>
      </c>
      <c r="O56" s="1">
        <f t="shared" si="15"/>
        <v>55</v>
      </c>
      <c r="P56" s="1" t="s">
        <v>605</v>
      </c>
      <c r="Q56">
        <v>1971</v>
      </c>
      <c r="R56">
        <v>2026</v>
      </c>
    </row>
    <row r="57" spans="1:18" x14ac:dyDescent="0.2">
      <c r="A57" s="2" t="s">
        <v>150</v>
      </c>
      <c r="B57" s="11">
        <v>38696</v>
      </c>
      <c r="C57" s="1">
        <f t="shared" si="8"/>
        <v>106</v>
      </c>
      <c r="D57" s="1">
        <v>51158000</v>
      </c>
      <c r="E57" s="1">
        <f t="shared" si="9"/>
        <v>29</v>
      </c>
      <c r="F57" s="12" t="s">
        <v>448</v>
      </c>
      <c r="G57">
        <v>1948</v>
      </c>
      <c r="H57" s="1">
        <f t="shared" si="10"/>
        <v>120</v>
      </c>
      <c r="I57" t="s">
        <v>363</v>
      </c>
      <c r="J57" s="4">
        <v>9602826</v>
      </c>
      <c r="K57" s="1">
        <f t="shared" si="11"/>
        <v>9</v>
      </c>
      <c r="L57" s="3">
        <f t="shared" si="12"/>
        <v>1322.0487905726691</v>
      </c>
      <c r="M57" s="1">
        <f t="shared" si="13"/>
        <v>15</v>
      </c>
      <c r="N57" s="6">
        <f t="shared" si="14"/>
        <v>0.18770917549552368</v>
      </c>
      <c r="O57" s="1">
        <f t="shared" si="15"/>
        <v>56</v>
      </c>
      <c r="P57" s="1" t="s">
        <v>605</v>
      </c>
      <c r="Q57">
        <v>1948</v>
      </c>
      <c r="R57">
        <v>2026</v>
      </c>
    </row>
    <row r="58" spans="1:18" x14ac:dyDescent="0.2">
      <c r="A58" s="2" t="s">
        <v>187</v>
      </c>
      <c r="B58" s="11">
        <v>29957</v>
      </c>
      <c r="C58" s="1">
        <f t="shared" si="8"/>
        <v>114</v>
      </c>
      <c r="D58" s="1">
        <v>6615000</v>
      </c>
      <c r="E58" s="1">
        <f t="shared" si="9"/>
        <v>108</v>
      </c>
      <c r="F58" s="12" t="s">
        <v>449</v>
      </c>
      <c r="G58">
        <v>1992</v>
      </c>
      <c r="H58" s="1">
        <f t="shared" si="10"/>
        <v>5</v>
      </c>
      <c r="I58" t="s">
        <v>356</v>
      </c>
      <c r="J58" s="4">
        <v>1197714</v>
      </c>
      <c r="K58" s="1">
        <f t="shared" si="11"/>
        <v>82</v>
      </c>
      <c r="L58" s="3">
        <f t="shared" si="12"/>
        <v>220.81650365523919</v>
      </c>
      <c r="M58" s="1">
        <f t="shared" si="13"/>
        <v>102</v>
      </c>
      <c r="N58" s="6">
        <f t="shared" si="14"/>
        <v>0.18106031746031745</v>
      </c>
      <c r="O58" s="1">
        <f t="shared" si="15"/>
        <v>57</v>
      </c>
      <c r="P58" s="1" t="s">
        <v>606</v>
      </c>
      <c r="Q58">
        <v>1992</v>
      </c>
      <c r="R58">
        <v>2026</v>
      </c>
    </row>
    <row r="59" spans="1:18" x14ac:dyDescent="0.2">
      <c r="A59" s="2" t="s">
        <v>72</v>
      </c>
      <c r="B59" s="11">
        <v>167974</v>
      </c>
      <c r="C59" s="1">
        <f t="shared" si="8"/>
        <v>57</v>
      </c>
      <c r="D59" s="1">
        <v>45694000</v>
      </c>
      <c r="E59" s="1">
        <f t="shared" si="9"/>
        <v>35</v>
      </c>
      <c r="F59" s="12" t="s">
        <v>450</v>
      </c>
      <c r="G59">
        <v>1932</v>
      </c>
      <c r="H59" s="1">
        <f t="shared" si="10"/>
        <v>133</v>
      </c>
      <c r="I59" t="s">
        <v>285</v>
      </c>
      <c r="J59" s="4">
        <v>8080012</v>
      </c>
      <c r="K59" s="1">
        <f t="shared" si="11"/>
        <v>16</v>
      </c>
      <c r="L59" s="3">
        <f t="shared" si="12"/>
        <v>272.03019514924927</v>
      </c>
      <c r="M59" s="1">
        <f t="shared" si="13"/>
        <v>84</v>
      </c>
      <c r="N59" s="6">
        <f t="shared" si="14"/>
        <v>0.17682873024904802</v>
      </c>
      <c r="O59" s="1">
        <f t="shared" si="15"/>
        <v>58</v>
      </c>
      <c r="P59" s="1" t="s">
        <v>605</v>
      </c>
      <c r="Q59">
        <v>1932</v>
      </c>
      <c r="R59">
        <v>2026</v>
      </c>
    </row>
    <row r="60" spans="1:18" x14ac:dyDescent="0.2">
      <c r="A60" s="2" t="s">
        <v>67</v>
      </c>
      <c r="B60" s="11">
        <v>35916</v>
      </c>
      <c r="C60" s="1">
        <f t="shared" si="8"/>
        <v>108</v>
      </c>
      <c r="D60" s="1">
        <v>9562000</v>
      </c>
      <c r="E60" s="1">
        <f t="shared" si="9"/>
        <v>95</v>
      </c>
      <c r="F60" s="12" t="s">
        <v>562</v>
      </c>
      <c r="G60">
        <v>1000</v>
      </c>
      <c r="H60" s="1">
        <f t="shared" si="10"/>
        <v>192</v>
      </c>
      <c r="I60" t="s">
        <v>275</v>
      </c>
      <c r="J60" s="4">
        <v>1685209</v>
      </c>
      <c r="K60" s="1">
        <f t="shared" si="11"/>
        <v>64</v>
      </c>
      <c r="L60" s="3">
        <f t="shared" si="12"/>
        <v>266.23231985744513</v>
      </c>
      <c r="M60" s="1">
        <f t="shared" si="13"/>
        <v>86</v>
      </c>
      <c r="N60" s="6">
        <f t="shared" si="14"/>
        <v>0.17624022171093914</v>
      </c>
      <c r="O60" s="1">
        <f t="shared" si="15"/>
        <v>59</v>
      </c>
      <c r="P60" s="1" t="s">
        <v>606</v>
      </c>
      <c r="Q60">
        <v>1000</v>
      </c>
      <c r="R60">
        <v>2026</v>
      </c>
    </row>
    <row r="61" spans="1:18" x14ac:dyDescent="0.2">
      <c r="A61" s="2" t="s">
        <v>163</v>
      </c>
      <c r="B61" s="11">
        <v>21853</v>
      </c>
      <c r="C61" s="1">
        <f t="shared" si="8"/>
        <v>123</v>
      </c>
      <c r="D61" s="1">
        <v>8588000</v>
      </c>
      <c r="E61" s="1">
        <f t="shared" si="9"/>
        <v>101</v>
      </c>
      <c r="F61" s="12" t="s">
        <v>451</v>
      </c>
      <c r="G61">
        <v>1960</v>
      </c>
      <c r="H61" s="1">
        <f t="shared" si="10"/>
        <v>92</v>
      </c>
      <c r="I61" t="s">
        <v>378</v>
      </c>
      <c r="J61" s="4">
        <v>1500000</v>
      </c>
      <c r="K61" s="1">
        <f t="shared" si="11"/>
        <v>68</v>
      </c>
      <c r="L61" s="3">
        <f t="shared" si="12"/>
        <v>392.98952088958038</v>
      </c>
      <c r="M61" s="1">
        <f t="shared" si="13"/>
        <v>59</v>
      </c>
      <c r="N61" s="6">
        <f t="shared" si="14"/>
        <v>0.17466231951560315</v>
      </c>
      <c r="O61" s="1">
        <f t="shared" si="15"/>
        <v>60</v>
      </c>
      <c r="P61" s="1" t="s">
        <v>608</v>
      </c>
      <c r="Q61">
        <v>1960</v>
      </c>
      <c r="R61">
        <v>2026</v>
      </c>
    </row>
    <row r="62" spans="1:18" x14ac:dyDescent="0.2">
      <c r="A62" s="2" t="s">
        <v>143</v>
      </c>
      <c r="B62" s="11">
        <v>28158</v>
      </c>
      <c r="C62" s="1">
        <f t="shared" si="8"/>
        <v>116</v>
      </c>
      <c r="D62" s="1">
        <v>7833000</v>
      </c>
      <c r="E62" s="1">
        <f t="shared" si="9"/>
        <v>103</v>
      </c>
      <c r="F62" s="12" t="s">
        <v>452</v>
      </c>
      <c r="G62">
        <v>1971</v>
      </c>
      <c r="H62" s="1">
        <f t="shared" si="10"/>
        <v>57</v>
      </c>
      <c r="I62" t="s">
        <v>258</v>
      </c>
      <c r="J62" s="4">
        <v>1347559</v>
      </c>
      <c r="K62" s="1">
        <f t="shared" si="11"/>
        <v>72</v>
      </c>
      <c r="L62" s="3">
        <f t="shared" si="12"/>
        <v>278.1802684849776</v>
      </c>
      <c r="M62" s="1">
        <f t="shared" si="13"/>
        <v>82</v>
      </c>
      <c r="N62" s="6">
        <f t="shared" si="14"/>
        <v>0.1720361291969871</v>
      </c>
      <c r="O62" s="1">
        <f t="shared" si="15"/>
        <v>61</v>
      </c>
      <c r="P62" s="1" t="s">
        <v>608</v>
      </c>
      <c r="Q62">
        <v>1971</v>
      </c>
      <c r="R62">
        <v>2026</v>
      </c>
    </row>
    <row r="63" spans="1:18" x14ac:dyDescent="0.2">
      <c r="A63" s="2" t="s">
        <v>97</v>
      </c>
      <c r="B63" s="11">
        <v>479245</v>
      </c>
      <c r="C63" s="1">
        <f t="shared" si="8"/>
        <v>23</v>
      </c>
      <c r="D63" s="1">
        <v>24745000</v>
      </c>
      <c r="E63" s="1">
        <f t="shared" si="9"/>
        <v>57</v>
      </c>
      <c r="F63" s="12" t="s">
        <v>453</v>
      </c>
      <c r="G63">
        <v>1960</v>
      </c>
      <c r="H63" s="1">
        <f t="shared" si="10"/>
        <v>92</v>
      </c>
      <c r="I63" t="s">
        <v>311</v>
      </c>
      <c r="J63" s="4">
        <v>4227569</v>
      </c>
      <c r="K63" s="1">
        <f t="shared" si="11"/>
        <v>26</v>
      </c>
      <c r="L63" s="3">
        <f t="shared" si="12"/>
        <v>51.633298208640674</v>
      </c>
      <c r="M63" s="1">
        <f t="shared" si="13"/>
        <v>169</v>
      </c>
      <c r="N63" s="6">
        <f t="shared" si="14"/>
        <v>0.1708453829056375</v>
      </c>
      <c r="O63" s="1">
        <f t="shared" si="15"/>
        <v>62</v>
      </c>
      <c r="P63" s="1" t="s">
        <v>608</v>
      </c>
      <c r="Q63">
        <v>1960</v>
      </c>
      <c r="R63">
        <v>2026</v>
      </c>
    </row>
    <row r="64" spans="1:18" x14ac:dyDescent="0.2">
      <c r="A64" s="2" t="s">
        <v>40</v>
      </c>
      <c r="B64" s="11">
        <v>905409</v>
      </c>
      <c r="C64" s="1">
        <f t="shared" si="8"/>
        <v>11</v>
      </c>
      <c r="D64" s="1">
        <v>109076000</v>
      </c>
      <c r="E64" s="1">
        <f t="shared" si="9"/>
        <v>14</v>
      </c>
      <c r="F64" s="12" t="s">
        <v>454</v>
      </c>
      <c r="G64">
        <v>1960</v>
      </c>
      <c r="H64" s="1">
        <f t="shared" si="10"/>
        <v>92</v>
      </c>
      <c r="I64" t="s">
        <v>241</v>
      </c>
      <c r="J64" s="4">
        <v>18552800</v>
      </c>
      <c r="K64" s="1">
        <f t="shared" si="11"/>
        <v>2</v>
      </c>
      <c r="L64" s="3">
        <f t="shared" si="12"/>
        <v>120.47152171007799</v>
      </c>
      <c r="M64" s="1">
        <f t="shared" si="13"/>
        <v>140</v>
      </c>
      <c r="N64" s="6">
        <f t="shared" si="14"/>
        <v>0.17009057904580294</v>
      </c>
      <c r="O64" s="1">
        <f t="shared" si="15"/>
        <v>63</v>
      </c>
      <c r="P64" s="1" t="s">
        <v>608</v>
      </c>
      <c r="Q64">
        <v>1960</v>
      </c>
      <c r="R64">
        <v>2026</v>
      </c>
    </row>
    <row r="65" spans="1:18" x14ac:dyDescent="0.2">
      <c r="A65" s="2" t="s">
        <v>137</v>
      </c>
      <c r="B65" s="11">
        <v>1093</v>
      </c>
      <c r="C65" s="1">
        <f t="shared" si="8"/>
        <v>168</v>
      </c>
      <c r="D65" s="1">
        <v>212800</v>
      </c>
      <c r="E65" s="1">
        <f t="shared" si="9"/>
        <v>177</v>
      </c>
      <c r="F65" s="12" t="s">
        <v>455</v>
      </c>
      <c r="G65">
        <v>1962</v>
      </c>
      <c r="H65" s="1">
        <f t="shared" si="10"/>
        <v>84</v>
      </c>
      <c r="I65" t="s">
        <v>352</v>
      </c>
      <c r="J65" s="4">
        <v>35974</v>
      </c>
      <c r="K65" s="1">
        <f t="shared" si="11"/>
        <v>174</v>
      </c>
      <c r="L65" s="3">
        <f t="shared" si="12"/>
        <v>194.69350411710889</v>
      </c>
      <c r="M65" s="1">
        <f t="shared" si="13"/>
        <v>109</v>
      </c>
      <c r="N65" s="6">
        <f t="shared" si="14"/>
        <v>0.16905075187969926</v>
      </c>
      <c r="O65" s="1">
        <f t="shared" si="15"/>
        <v>64</v>
      </c>
      <c r="P65" s="1" t="s">
        <v>609</v>
      </c>
      <c r="Q65">
        <v>1962</v>
      </c>
      <c r="R65">
        <v>2026</v>
      </c>
    </row>
    <row r="66" spans="1:18" x14ac:dyDescent="0.2">
      <c r="A66" s="2" t="s">
        <v>50</v>
      </c>
      <c r="B66" s="11">
        <v>46757</v>
      </c>
      <c r="C66" s="1">
        <f t="shared" ref="C66:C97" si="16">RANK(B66,B$2:B$197)</f>
        <v>98</v>
      </c>
      <c r="D66" s="1">
        <v>6416000</v>
      </c>
      <c r="E66" s="1">
        <f t="shared" ref="E66:E97" si="17">RANK(D66,D$2:D$197)</f>
        <v>112</v>
      </c>
      <c r="F66" s="12" t="s">
        <v>456</v>
      </c>
      <c r="G66">
        <v>1991</v>
      </c>
      <c r="H66" s="1">
        <f t="shared" ref="H66:H97" si="18">RANK(G66,G$2:G$197)</f>
        <v>8</v>
      </c>
      <c r="I66" t="s">
        <v>251</v>
      </c>
      <c r="J66" s="4">
        <v>1073000</v>
      </c>
      <c r="K66" s="1">
        <f t="shared" ref="K66:K97" si="19">RANK(J66,J$2:J$197)</f>
        <v>89</v>
      </c>
      <c r="L66" s="3">
        <f t="shared" ref="L66:L97" si="20">D66/B66</f>
        <v>137.22009538678699</v>
      </c>
      <c r="M66" s="1">
        <f t="shared" ref="M66:M97" si="21">RANK(L66,L$2:L$197)</f>
        <v>133</v>
      </c>
      <c r="N66" s="6">
        <f t="shared" ref="N66:N97" si="22">J66/D66</f>
        <v>0.16723815461346633</v>
      </c>
      <c r="O66" s="1">
        <f t="shared" ref="O66:O97" si="23">RANK(N66,N$2:N$197)</f>
        <v>65</v>
      </c>
      <c r="P66" s="1" t="s">
        <v>608</v>
      </c>
      <c r="Q66">
        <v>1991</v>
      </c>
      <c r="R66">
        <v>2026</v>
      </c>
    </row>
    <row r="67" spans="1:18" x14ac:dyDescent="0.2">
      <c r="A67" s="2" t="s">
        <v>64</v>
      </c>
      <c r="B67" s="11">
        <v>83012</v>
      </c>
      <c r="C67" s="1">
        <f t="shared" si="16"/>
        <v>83</v>
      </c>
      <c r="D67" s="1">
        <v>785100</v>
      </c>
      <c r="E67" s="1">
        <f t="shared" si="17"/>
        <v>162</v>
      </c>
      <c r="F67" s="12" t="s">
        <v>457</v>
      </c>
      <c r="G67">
        <v>1966</v>
      </c>
      <c r="H67" s="1">
        <f t="shared" si="18"/>
        <v>68</v>
      </c>
      <c r="I67" t="s">
        <v>272</v>
      </c>
      <c r="J67" s="4">
        <v>125683</v>
      </c>
      <c r="K67" s="1">
        <f t="shared" si="19"/>
        <v>160</v>
      </c>
      <c r="L67" s="3">
        <f t="shared" si="20"/>
        <v>9.4576687707801277</v>
      </c>
      <c r="M67" s="1">
        <f t="shared" si="21"/>
        <v>194</v>
      </c>
      <c r="N67" s="6">
        <f t="shared" si="22"/>
        <v>0.16008533944720418</v>
      </c>
      <c r="O67" s="1">
        <f t="shared" si="23"/>
        <v>66</v>
      </c>
      <c r="P67" s="1" t="s">
        <v>610</v>
      </c>
      <c r="Q67">
        <v>1966</v>
      </c>
      <c r="R67">
        <v>2026</v>
      </c>
    </row>
    <row r="68" spans="1:18" x14ac:dyDescent="0.2">
      <c r="A68" s="2" t="s">
        <v>23</v>
      </c>
      <c r="B68" s="11">
        <v>2226</v>
      </c>
      <c r="C68" s="1">
        <f t="shared" si="16"/>
        <v>165</v>
      </c>
      <c r="D68" s="1">
        <v>461000</v>
      </c>
      <c r="E68" s="1">
        <f t="shared" si="17"/>
        <v>170</v>
      </c>
      <c r="F68" s="12" t="s">
        <v>458</v>
      </c>
      <c r="G68">
        <v>1984</v>
      </c>
      <c r="H68" s="1">
        <f t="shared" si="18"/>
        <v>29</v>
      </c>
      <c r="I68" t="s">
        <v>217</v>
      </c>
      <c r="J68" s="4">
        <v>72133</v>
      </c>
      <c r="K68" s="1">
        <f t="shared" si="19"/>
        <v>168</v>
      </c>
      <c r="L68" s="3">
        <f t="shared" si="20"/>
        <v>207.09793351302784</v>
      </c>
      <c r="M68" s="1">
        <f t="shared" si="21"/>
        <v>106</v>
      </c>
      <c r="N68" s="6">
        <f t="shared" si="22"/>
        <v>0.15647071583514099</v>
      </c>
      <c r="O68" s="1">
        <f t="shared" si="23"/>
        <v>67</v>
      </c>
      <c r="P68" s="1" t="s">
        <v>605</v>
      </c>
      <c r="Q68">
        <v>1984</v>
      </c>
      <c r="R68">
        <v>2026</v>
      </c>
    </row>
    <row r="69" spans="1:18" x14ac:dyDescent="0.2">
      <c r="A69" s="2" t="s">
        <v>87</v>
      </c>
      <c r="B69" s="11">
        <v>11720</v>
      </c>
      <c r="C69" s="1">
        <f t="shared" si="16"/>
        <v>139</v>
      </c>
      <c r="D69" s="1">
        <v>2135000</v>
      </c>
      <c r="E69" s="1">
        <f t="shared" si="17"/>
        <v>144</v>
      </c>
      <c r="F69" s="12" t="s">
        <v>459</v>
      </c>
      <c r="G69">
        <v>1966</v>
      </c>
      <c r="H69" s="1">
        <f t="shared" si="18"/>
        <v>68</v>
      </c>
      <c r="I69" t="s">
        <v>302</v>
      </c>
      <c r="J69" s="4">
        <v>330760</v>
      </c>
      <c r="K69" s="1">
        <f t="shared" si="19"/>
        <v>139</v>
      </c>
      <c r="L69" s="3">
        <f t="shared" si="20"/>
        <v>182.16723549488054</v>
      </c>
      <c r="M69" s="1">
        <f t="shared" si="21"/>
        <v>117</v>
      </c>
      <c r="N69" s="6">
        <f t="shared" si="22"/>
        <v>0.15492271662763465</v>
      </c>
      <c r="O69" s="1">
        <f t="shared" si="23"/>
        <v>68</v>
      </c>
      <c r="P69" s="1" t="s">
        <v>608</v>
      </c>
      <c r="Q69">
        <v>1966</v>
      </c>
      <c r="R69">
        <v>2026</v>
      </c>
    </row>
    <row r="70" spans="1:18" x14ac:dyDescent="0.2">
      <c r="A70" s="2" t="s">
        <v>148</v>
      </c>
      <c r="B70" s="11">
        <v>246201</v>
      </c>
      <c r="C70" s="1">
        <f t="shared" si="16"/>
        <v>42</v>
      </c>
      <c r="D70" s="1">
        <v>21289000</v>
      </c>
      <c r="E70" s="1">
        <f t="shared" si="17"/>
        <v>63</v>
      </c>
      <c r="F70" s="12" t="s">
        <v>460</v>
      </c>
      <c r="G70">
        <v>1960</v>
      </c>
      <c r="H70" s="1">
        <f t="shared" si="18"/>
        <v>92</v>
      </c>
      <c r="I70" t="s">
        <v>361</v>
      </c>
      <c r="J70" s="4">
        <v>3262129</v>
      </c>
      <c r="K70" s="1">
        <f t="shared" si="19"/>
        <v>32</v>
      </c>
      <c r="L70" s="3">
        <f t="shared" si="20"/>
        <v>86.4699980909907</v>
      </c>
      <c r="M70" s="1">
        <f t="shared" si="21"/>
        <v>150</v>
      </c>
      <c r="N70" s="6">
        <f t="shared" si="22"/>
        <v>0.15323072948471042</v>
      </c>
      <c r="O70" s="1">
        <f t="shared" si="23"/>
        <v>69</v>
      </c>
      <c r="P70" s="1" t="s">
        <v>608</v>
      </c>
      <c r="Q70">
        <v>1960</v>
      </c>
      <c r="R70">
        <v>2026</v>
      </c>
    </row>
    <row r="71" spans="1:18" x14ac:dyDescent="0.2">
      <c r="A71" s="2" t="s">
        <v>114</v>
      </c>
      <c r="B71" s="11">
        <v>50337</v>
      </c>
      <c r="C71" s="1">
        <f t="shared" si="16"/>
        <v>96</v>
      </c>
      <c r="D71" s="1">
        <v>6947000</v>
      </c>
      <c r="E71" s="1">
        <f t="shared" si="17"/>
        <v>107</v>
      </c>
      <c r="F71" s="12" t="s">
        <v>563</v>
      </c>
      <c r="G71">
        <v>1838</v>
      </c>
      <c r="H71" s="1">
        <f t="shared" si="18"/>
        <v>164</v>
      </c>
      <c r="I71" t="s">
        <v>328</v>
      </c>
      <c r="J71" s="4">
        <v>1061054</v>
      </c>
      <c r="K71" s="1">
        <f t="shared" si="19"/>
        <v>90</v>
      </c>
      <c r="L71" s="3">
        <f t="shared" si="20"/>
        <v>138.00981385461986</v>
      </c>
      <c r="M71" s="1">
        <f t="shared" si="21"/>
        <v>131</v>
      </c>
      <c r="N71" s="6">
        <f t="shared" si="22"/>
        <v>0.15273556931049373</v>
      </c>
      <c r="O71" s="1">
        <f t="shared" si="23"/>
        <v>70</v>
      </c>
      <c r="P71" s="1" t="s">
        <v>607</v>
      </c>
      <c r="Q71">
        <v>1838</v>
      </c>
      <c r="R71">
        <v>2026</v>
      </c>
    </row>
    <row r="72" spans="1:18" x14ac:dyDescent="0.2">
      <c r="A72" s="2" t="s">
        <v>109</v>
      </c>
      <c r="B72" s="11">
        <v>318261</v>
      </c>
      <c r="C72" s="1">
        <f t="shared" si="16"/>
        <v>33</v>
      </c>
      <c r="D72" s="1">
        <v>3185000</v>
      </c>
      <c r="E72" s="1">
        <f t="shared" si="17"/>
        <v>134</v>
      </c>
      <c r="F72" s="12" t="s">
        <v>461</v>
      </c>
      <c r="G72">
        <v>1990</v>
      </c>
      <c r="H72" s="1">
        <f t="shared" si="18"/>
        <v>25</v>
      </c>
      <c r="I72" t="s">
        <v>324</v>
      </c>
      <c r="J72" s="4">
        <v>486169</v>
      </c>
      <c r="K72" s="1">
        <f t="shared" si="19"/>
        <v>130</v>
      </c>
      <c r="L72" s="3">
        <f t="shared" si="20"/>
        <v>10.007509559763841</v>
      </c>
      <c r="M72" s="1">
        <f t="shared" si="21"/>
        <v>192</v>
      </c>
      <c r="N72" s="6">
        <f t="shared" si="22"/>
        <v>0.15264332810047096</v>
      </c>
      <c r="O72" s="1">
        <f t="shared" si="23"/>
        <v>71</v>
      </c>
      <c r="P72" s="1" t="s">
        <v>608</v>
      </c>
      <c r="Q72">
        <v>1990</v>
      </c>
      <c r="R72">
        <v>2026</v>
      </c>
    </row>
    <row r="73" spans="1:18" x14ac:dyDescent="0.2">
      <c r="A73" s="2" t="s">
        <v>83</v>
      </c>
      <c r="B73" s="11">
        <v>77199</v>
      </c>
      <c r="C73" s="1">
        <f t="shared" si="16"/>
        <v>85</v>
      </c>
      <c r="D73" s="1">
        <v>7358000</v>
      </c>
      <c r="E73" s="1">
        <f t="shared" si="17"/>
        <v>106</v>
      </c>
      <c r="F73" s="12" t="s">
        <v>462</v>
      </c>
      <c r="G73">
        <v>1991</v>
      </c>
      <c r="H73" s="1">
        <f t="shared" si="18"/>
        <v>8</v>
      </c>
      <c r="I73" t="s">
        <v>298</v>
      </c>
      <c r="J73" s="4">
        <v>1120827</v>
      </c>
      <c r="K73" s="1">
        <f t="shared" si="19"/>
        <v>85</v>
      </c>
      <c r="L73" s="3">
        <f t="shared" si="20"/>
        <v>95.312115441909867</v>
      </c>
      <c r="M73" s="1">
        <f t="shared" si="21"/>
        <v>147</v>
      </c>
      <c r="N73" s="6">
        <f t="shared" si="22"/>
        <v>0.15232767056265289</v>
      </c>
      <c r="O73" s="1">
        <f t="shared" si="23"/>
        <v>72</v>
      </c>
      <c r="P73" s="1" t="s">
        <v>605</v>
      </c>
      <c r="Q73">
        <v>1991</v>
      </c>
      <c r="R73">
        <v>2026</v>
      </c>
    </row>
    <row r="74" spans="1:18" x14ac:dyDescent="0.2">
      <c r="A74" s="2" t="s">
        <v>34</v>
      </c>
      <c r="B74" s="11">
        <v>440831</v>
      </c>
      <c r="C74" s="1">
        <f t="shared" si="16"/>
        <v>25</v>
      </c>
      <c r="D74" s="1">
        <v>53485000</v>
      </c>
      <c r="E74" s="1">
        <f t="shared" si="17"/>
        <v>27</v>
      </c>
      <c r="F74" s="12" t="s">
        <v>564</v>
      </c>
      <c r="G74">
        <v>1810</v>
      </c>
      <c r="H74" s="1">
        <f t="shared" si="18"/>
        <v>181</v>
      </c>
      <c r="I74" t="s">
        <v>231</v>
      </c>
      <c r="J74" s="4">
        <v>8034649</v>
      </c>
      <c r="K74" s="1">
        <f t="shared" si="19"/>
        <v>17</v>
      </c>
      <c r="L74" s="3">
        <f t="shared" si="20"/>
        <v>121.32767432417411</v>
      </c>
      <c r="M74" s="1">
        <f t="shared" si="21"/>
        <v>139</v>
      </c>
      <c r="N74" s="6">
        <f t="shared" si="22"/>
        <v>0.15022247359072638</v>
      </c>
      <c r="O74" s="1">
        <f t="shared" si="23"/>
        <v>73</v>
      </c>
      <c r="P74" s="1" t="s">
        <v>610</v>
      </c>
      <c r="Q74">
        <v>1810</v>
      </c>
      <c r="R74">
        <v>2026</v>
      </c>
    </row>
    <row r="75" spans="1:18" x14ac:dyDescent="0.2">
      <c r="A75" s="2" t="s">
        <v>89</v>
      </c>
      <c r="B75" s="11">
        <v>647183</v>
      </c>
      <c r="C75" s="1">
        <f t="shared" si="16"/>
        <v>16</v>
      </c>
      <c r="D75" s="1">
        <v>8060000</v>
      </c>
      <c r="E75" s="1">
        <f t="shared" si="17"/>
        <v>102</v>
      </c>
      <c r="F75" s="12" t="s">
        <v>463</v>
      </c>
      <c r="G75">
        <v>1951</v>
      </c>
      <c r="H75" s="1">
        <f t="shared" si="18"/>
        <v>117</v>
      </c>
      <c r="I75" t="s">
        <v>304</v>
      </c>
      <c r="J75" s="4">
        <v>1183000</v>
      </c>
      <c r="K75" s="1">
        <f t="shared" si="19"/>
        <v>84</v>
      </c>
      <c r="L75" s="3">
        <f t="shared" si="20"/>
        <v>12.453973605610777</v>
      </c>
      <c r="M75" s="1">
        <f t="shared" si="21"/>
        <v>187</v>
      </c>
      <c r="N75" s="6">
        <f t="shared" si="22"/>
        <v>0.14677419354838708</v>
      </c>
      <c r="O75" s="1">
        <f t="shared" si="23"/>
        <v>74</v>
      </c>
      <c r="P75" s="1" t="s">
        <v>608</v>
      </c>
      <c r="Q75">
        <v>1951</v>
      </c>
      <c r="R75">
        <v>2026</v>
      </c>
    </row>
    <row r="76" spans="1:18" x14ac:dyDescent="0.2">
      <c r="A76" s="2" t="s">
        <v>0</v>
      </c>
      <c r="B76" s="11">
        <v>252073</v>
      </c>
      <c r="C76" s="1">
        <f t="shared" si="16"/>
        <v>40</v>
      </c>
      <c r="D76" s="1">
        <v>36432000</v>
      </c>
      <c r="E76" s="1">
        <f t="shared" si="17"/>
        <v>41</v>
      </c>
      <c r="F76" s="12" t="s">
        <v>464</v>
      </c>
      <c r="G76">
        <v>1919</v>
      </c>
      <c r="H76" s="1">
        <f t="shared" si="18"/>
        <v>142</v>
      </c>
      <c r="I76" t="s">
        <v>189</v>
      </c>
      <c r="J76" s="4">
        <v>5333284</v>
      </c>
      <c r="K76" s="1">
        <f t="shared" si="19"/>
        <v>23</v>
      </c>
      <c r="L76" s="3">
        <f t="shared" si="20"/>
        <v>144.52956088117332</v>
      </c>
      <c r="M76" s="1">
        <f t="shared" si="21"/>
        <v>129</v>
      </c>
      <c r="N76" s="6">
        <f t="shared" si="22"/>
        <v>0.1463900966183575</v>
      </c>
      <c r="O76" s="1">
        <f t="shared" si="23"/>
        <v>75</v>
      </c>
      <c r="P76" s="1" t="s">
        <v>605</v>
      </c>
      <c r="Q76">
        <v>1919</v>
      </c>
      <c r="R76">
        <v>2026</v>
      </c>
    </row>
    <row r="77" spans="1:18" x14ac:dyDescent="0.2">
      <c r="A77" s="2" t="s">
        <v>18</v>
      </c>
      <c r="B77" s="11">
        <v>14824</v>
      </c>
      <c r="C77" s="1">
        <f t="shared" si="16"/>
        <v>132</v>
      </c>
      <c r="D77" s="1">
        <v>784000</v>
      </c>
      <c r="E77" s="1">
        <f t="shared" si="17"/>
        <v>163</v>
      </c>
      <c r="F77" s="12" t="s">
        <v>465</v>
      </c>
      <c r="G77">
        <v>1900</v>
      </c>
      <c r="H77" s="1">
        <f t="shared" si="18"/>
        <v>151</v>
      </c>
      <c r="I77" t="s">
        <v>212</v>
      </c>
      <c r="J77" s="4">
        <v>114551</v>
      </c>
      <c r="K77" s="1">
        <f t="shared" si="19"/>
        <v>161</v>
      </c>
      <c r="L77" s="3">
        <f t="shared" si="20"/>
        <v>52.8872099298435</v>
      </c>
      <c r="M77" s="1">
        <f t="shared" si="21"/>
        <v>167</v>
      </c>
      <c r="N77" s="6">
        <f t="shared" si="22"/>
        <v>0.14611096938775511</v>
      </c>
      <c r="O77" s="1">
        <f t="shared" si="23"/>
        <v>76</v>
      </c>
      <c r="P77" s="1" t="s">
        <v>605</v>
      </c>
      <c r="Q77">
        <v>1900</v>
      </c>
      <c r="R77">
        <v>2026</v>
      </c>
    </row>
    <row r="78" spans="1:18" x14ac:dyDescent="0.2">
      <c r="A78" s="2" t="s">
        <v>81</v>
      </c>
      <c r="B78" s="11">
        <v>4210</v>
      </c>
      <c r="C78" s="1">
        <f t="shared" si="16"/>
        <v>161</v>
      </c>
      <c r="D78" s="1">
        <v>1569000</v>
      </c>
      <c r="E78" s="1">
        <f t="shared" si="17"/>
        <v>151</v>
      </c>
      <c r="F78" s="12" t="s">
        <v>466</v>
      </c>
      <c r="G78">
        <v>2008</v>
      </c>
      <c r="H78" s="1">
        <f t="shared" si="18"/>
        <v>2</v>
      </c>
      <c r="I78" t="s">
        <v>296</v>
      </c>
      <c r="J78" s="4">
        <v>227466</v>
      </c>
      <c r="K78" s="1">
        <f t="shared" si="19"/>
        <v>149</v>
      </c>
      <c r="L78" s="3">
        <f t="shared" si="20"/>
        <v>372.68408551068882</v>
      </c>
      <c r="M78" s="1">
        <f t="shared" si="21"/>
        <v>65</v>
      </c>
      <c r="N78" s="6">
        <f t="shared" si="22"/>
        <v>0.14497514340344167</v>
      </c>
      <c r="O78" s="1">
        <f t="shared" si="23"/>
        <v>77</v>
      </c>
      <c r="P78" s="1" t="s">
        <v>606</v>
      </c>
      <c r="Q78">
        <v>2008</v>
      </c>
      <c r="R78">
        <v>2026</v>
      </c>
    </row>
    <row r="79" spans="1:18" x14ac:dyDescent="0.2">
      <c r="A79" s="2" t="s">
        <v>176</v>
      </c>
      <c r="B79" s="11">
        <v>4742</v>
      </c>
      <c r="C79" s="1">
        <f t="shared" si="16"/>
        <v>158</v>
      </c>
      <c r="D79" s="1">
        <v>341500</v>
      </c>
      <c r="E79" s="1">
        <f t="shared" si="17"/>
        <v>174</v>
      </c>
      <c r="F79" s="12" t="s">
        <v>467</v>
      </c>
      <c r="G79">
        <v>1980</v>
      </c>
      <c r="H79" s="1">
        <f t="shared" si="18"/>
        <v>34</v>
      </c>
      <c r="I79" t="s">
        <v>393</v>
      </c>
      <c r="J79" s="4">
        <v>49034</v>
      </c>
      <c r="K79" s="1">
        <f t="shared" si="19"/>
        <v>173</v>
      </c>
      <c r="L79" s="3">
        <f t="shared" si="20"/>
        <v>72.016026992830035</v>
      </c>
      <c r="M79" s="1">
        <f t="shared" si="21"/>
        <v>158</v>
      </c>
      <c r="N79" s="6">
        <f t="shared" si="22"/>
        <v>0.14358418740849194</v>
      </c>
      <c r="O79" s="1">
        <f t="shared" si="23"/>
        <v>78</v>
      </c>
      <c r="P79" s="1" t="s">
        <v>609</v>
      </c>
      <c r="Q79">
        <v>1980</v>
      </c>
      <c r="R79">
        <v>2026</v>
      </c>
    </row>
    <row r="80" spans="1:18" x14ac:dyDescent="0.2">
      <c r="A80" s="2" t="s">
        <v>146</v>
      </c>
      <c r="B80" s="11">
        <v>7827</v>
      </c>
      <c r="C80" s="1">
        <f t="shared" si="16"/>
        <v>151</v>
      </c>
      <c r="D80" s="1">
        <v>2135000</v>
      </c>
      <c r="E80" s="1">
        <f t="shared" si="17"/>
        <v>144</v>
      </c>
      <c r="F80" s="12" t="s">
        <v>443</v>
      </c>
      <c r="G80">
        <v>1991</v>
      </c>
      <c r="H80" s="1">
        <f t="shared" si="18"/>
        <v>8</v>
      </c>
      <c r="I80" t="s">
        <v>359</v>
      </c>
      <c r="J80" s="4">
        <v>300354</v>
      </c>
      <c r="K80" s="1">
        <f t="shared" si="19"/>
        <v>140</v>
      </c>
      <c r="L80" s="3">
        <f t="shared" si="20"/>
        <v>272.77373195349429</v>
      </c>
      <c r="M80" s="1">
        <f t="shared" si="21"/>
        <v>83</v>
      </c>
      <c r="N80" s="6">
        <f t="shared" si="22"/>
        <v>0.14068103044496488</v>
      </c>
      <c r="O80" s="1">
        <f t="shared" si="23"/>
        <v>79</v>
      </c>
      <c r="P80" s="1" t="s">
        <v>606</v>
      </c>
      <c r="Q80">
        <v>1991</v>
      </c>
      <c r="R80">
        <v>2026</v>
      </c>
    </row>
    <row r="81" spans="1:19" x14ac:dyDescent="0.2">
      <c r="A81" s="2" t="s">
        <v>90</v>
      </c>
      <c r="B81" s="11">
        <v>62</v>
      </c>
      <c r="C81" s="1">
        <f t="shared" si="16"/>
        <v>191</v>
      </c>
      <c r="D81" s="1">
        <v>40600</v>
      </c>
      <c r="E81" s="1">
        <f t="shared" si="17"/>
        <v>189</v>
      </c>
      <c r="F81" s="12" t="s">
        <v>565</v>
      </c>
      <c r="G81">
        <v>1866</v>
      </c>
      <c r="H81" s="1">
        <f t="shared" si="18"/>
        <v>156</v>
      </c>
      <c r="I81" t="s">
        <v>305</v>
      </c>
      <c r="J81" s="4">
        <v>5696</v>
      </c>
      <c r="K81" s="1">
        <f t="shared" si="19"/>
        <v>189</v>
      </c>
      <c r="L81" s="3">
        <f t="shared" si="20"/>
        <v>654.83870967741939</v>
      </c>
      <c r="M81" s="1">
        <f t="shared" si="21"/>
        <v>38</v>
      </c>
      <c r="N81" s="6">
        <f t="shared" si="22"/>
        <v>0.14029556650246305</v>
      </c>
      <c r="O81" s="1">
        <f t="shared" si="23"/>
        <v>80</v>
      </c>
      <c r="P81" s="1" t="s">
        <v>606</v>
      </c>
      <c r="Q81">
        <v>1866</v>
      </c>
      <c r="R81">
        <v>2026</v>
      </c>
    </row>
    <row r="82" spans="1:19" x14ac:dyDescent="0.2">
      <c r="A82" s="2" t="s">
        <v>168</v>
      </c>
      <c r="B82" s="11">
        <v>189657</v>
      </c>
      <c r="C82" s="1">
        <f t="shared" si="16"/>
        <v>51</v>
      </c>
      <c r="D82" s="1">
        <v>7363000</v>
      </c>
      <c r="E82" s="1">
        <f t="shared" si="17"/>
        <v>105</v>
      </c>
      <c r="F82" s="12" t="s">
        <v>468</v>
      </c>
      <c r="G82">
        <v>1990</v>
      </c>
      <c r="H82" s="1">
        <f t="shared" si="18"/>
        <v>25</v>
      </c>
      <c r="I82" t="s">
        <v>383</v>
      </c>
      <c r="J82" s="4">
        <v>1030063</v>
      </c>
      <c r="K82" s="1">
        <f t="shared" si="19"/>
        <v>91</v>
      </c>
      <c r="L82" s="3">
        <f t="shared" si="20"/>
        <v>38.822716799274481</v>
      </c>
      <c r="M82" s="1">
        <f t="shared" si="21"/>
        <v>180</v>
      </c>
      <c r="N82" s="6">
        <f t="shared" si="22"/>
        <v>0.13989718864593237</v>
      </c>
      <c r="O82" s="1">
        <f t="shared" si="23"/>
        <v>81</v>
      </c>
      <c r="P82" s="1" t="s">
        <v>605</v>
      </c>
      <c r="Q82">
        <v>1990</v>
      </c>
      <c r="R82">
        <v>2026</v>
      </c>
    </row>
    <row r="83" spans="1:19" x14ac:dyDescent="0.2">
      <c r="A83" s="2" t="s">
        <v>28</v>
      </c>
      <c r="B83" s="11">
        <v>179943</v>
      </c>
      <c r="C83" s="1">
        <f t="shared" si="16"/>
        <v>52</v>
      </c>
      <c r="D83" s="1">
        <v>27973000</v>
      </c>
      <c r="E83" s="1">
        <f t="shared" si="17"/>
        <v>54</v>
      </c>
      <c r="F83" s="12" t="s">
        <v>469</v>
      </c>
      <c r="G83">
        <v>1961</v>
      </c>
      <c r="H83" s="1">
        <f t="shared" si="18"/>
        <v>90</v>
      </c>
      <c r="I83" t="s">
        <v>225</v>
      </c>
      <c r="J83" s="4">
        <v>3762900</v>
      </c>
      <c r="K83" s="1">
        <f t="shared" si="19"/>
        <v>28</v>
      </c>
      <c r="L83" s="3">
        <f t="shared" si="20"/>
        <v>155.45478290347498</v>
      </c>
      <c r="M83" s="1">
        <f t="shared" si="21"/>
        <v>124</v>
      </c>
      <c r="N83" s="6">
        <f t="shared" si="22"/>
        <v>0.13451900046473386</v>
      </c>
      <c r="O83" s="1">
        <f t="shared" si="23"/>
        <v>82</v>
      </c>
      <c r="P83" s="1" t="s">
        <v>608</v>
      </c>
      <c r="Q83">
        <v>1961</v>
      </c>
      <c r="R83">
        <v>2026</v>
      </c>
    </row>
    <row r="84" spans="1:19" x14ac:dyDescent="0.2">
      <c r="A84" s="2" t="s">
        <v>27</v>
      </c>
      <c r="B84" s="11">
        <v>71056</v>
      </c>
      <c r="C84" s="1">
        <f t="shared" si="16"/>
        <v>88</v>
      </c>
      <c r="D84" s="1">
        <v>17578000</v>
      </c>
      <c r="E84" s="1">
        <f t="shared" si="17"/>
        <v>71</v>
      </c>
      <c r="F84" s="12" t="s">
        <v>470</v>
      </c>
      <c r="G84">
        <v>1953</v>
      </c>
      <c r="H84" s="1">
        <f t="shared" si="18"/>
        <v>115</v>
      </c>
      <c r="I84" t="s">
        <v>224</v>
      </c>
      <c r="J84" s="4">
        <v>2352851</v>
      </c>
      <c r="K84" s="1">
        <f t="shared" si="19"/>
        <v>44</v>
      </c>
      <c r="L84" s="3">
        <f t="shared" si="20"/>
        <v>247.38234631839677</v>
      </c>
      <c r="M84" s="1">
        <f t="shared" si="21"/>
        <v>93</v>
      </c>
      <c r="N84" s="6">
        <f t="shared" si="22"/>
        <v>0.13385203094777562</v>
      </c>
      <c r="O84" s="1">
        <f t="shared" si="23"/>
        <v>83</v>
      </c>
      <c r="P84" s="1" t="s">
        <v>605</v>
      </c>
      <c r="Q84">
        <v>1953</v>
      </c>
      <c r="R84">
        <v>2026</v>
      </c>
    </row>
    <row r="85" spans="1:19" x14ac:dyDescent="0.2">
      <c r="A85" s="2" t="s">
        <v>66</v>
      </c>
      <c r="B85" s="11">
        <v>43543</v>
      </c>
      <c r="C85" s="1">
        <f t="shared" si="16"/>
        <v>101</v>
      </c>
      <c r="D85" s="1">
        <v>10044000</v>
      </c>
      <c r="E85" s="1">
        <f t="shared" si="17"/>
        <v>94</v>
      </c>
      <c r="F85" s="12" t="s">
        <v>566</v>
      </c>
      <c r="G85">
        <v>1838</v>
      </c>
      <c r="H85" s="1">
        <f t="shared" si="18"/>
        <v>164</v>
      </c>
      <c r="I85" t="s">
        <v>274</v>
      </c>
      <c r="J85" s="4">
        <v>1326460</v>
      </c>
      <c r="K85" s="1">
        <f t="shared" si="19"/>
        <v>74</v>
      </c>
      <c r="L85" s="3">
        <f t="shared" si="20"/>
        <v>230.66853455205199</v>
      </c>
      <c r="M85" s="1">
        <f t="shared" si="21"/>
        <v>98</v>
      </c>
      <c r="N85" s="6">
        <f t="shared" si="22"/>
        <v>0.13206491437674234</v>
      </c>
      <c r="O85" s="1">
        <f t="shared" si="23"/>
        <v>84</v>
      </c>
      <c r="P85" s="1" t="s">
        <v>607</v>
      </c>
      <c r="Q85">
        <v>1838</v>
      </c>
      <c r="R85">
        <v>2026</v>
      </c>
    </row>
    <row r="86" spans="1:19" x14ac:dyDescent="0.2">
      <c r="A86" s="2" t="s">
        <v>173</v>
      </c>
      <c r="B86" s="11">
        <v>93630</v>
      </c>
      <c r="C86" s="1">
        <f t="shared" si="16"/>
        <v>78</v>
      </c>
      <c r="D86" s="1">
        <v>69414000</v>
      </c>
      <c r="E86" s="1">
        <f t="shared" si="17"/>
        <v>20</v>
      </c>
      <c r="F86" s="12" t="s">
        <v>567</v>
      </c>
      <c r="G86">
        <v>1801</v>
      </c>
      <c r="H86" s="1">
        <f t="shared" si="18"/>
        <v>182</v>
      </c>
      <c r="I86" t="s">
        <v>388</v>
      </c>
      <c r="J86" s="4">
        <v>9089736</v>
      </c>
      <c r="K86" s="1">
        <f t="shared" si="19"/>
        <v>11</v>
      </c>
      <c r="L86" s="3">
        <f t="shared" si="20"/>
        <v>741.36494713232935</v>
      </c>
      <c r="M86" s="1">
        <f t="shared" si="21"/>
        <v>32</v>
      </c>
      <c r="N86" s="6">
        <f t="shared" si="22"/>
        <v>0.1309496067075806</v>
      </c>
      <c r="O86" s="1">
        <f t="shared" si="23"/>
        <v>85</v>
      </c>
      <c r="P86" s="1" t="s">
        <v>606</v>
      </c>
      <c r="Q86">
        <v>1801</v>
      </c>
      <c r="R86">
        <v>2026</v>
      </c>
    </row>
    <row r="87" spans="1:19" x14ac:dyDescent="0.2">
      <c r="A87" s="2" t="s">
        <v>186</v>
      </c>
      <c r="B87" s="11">
        <v>148449</v>
      </c>
      <c r="C87" s="1">
        <f t="shared" si="16"/>
        <v>61</v>
      </c>
      <c r="D87" s="1">
        <v>5623000</v>
      </c>
      <c r="E87" s="1">
        <f t="shared" si="17"/>
        <v>120</v>
      </c>
      <c r="F87" s="12" t="s">
        <v>471</v>
      </c>
      <c r="G87">
        <v>1905</v>
      </c>
      <c r="H87" s="1">
        <f t="shared" si="18"/>
        <v>147</v>
      </c>
      <c r="I87" t="s">
        <v>333</v>
      </c>
      <c r="J87" s="4">
        <v>724290</v>
      </c>
      <c r="K87" s="1">
        <f t="shared" si="19"/>
        <v>111</v>
      </c>
      <c r="L87" s="3">
        <f t="shared" si="20"/>
        <v>37.878328584227582</v>
      </c>
      <c r="M87" s="1">
        <f t="shared" si="21"/>
        <v>181</v>
      </c>
      <c r="N87" s="6">
        <f t="shared" si="22"/>
        <v>0.12880846523208253</v>
      </c>
      <c r="O87" s="1">
        <f t="shared" si="23"/>
        <v>86</v>
      </c>
      <c r="P87" s="1" t="s">
        <v>606</v>
      </c>
      <c r="Q87">
        <v>1905</v>
      </c>
      <c r="R87">
        <v>2026</v>
      </c>
    </row>
    <row r="88" spans="1:19" x14ac:dyDescent="0.2">
      <c r="A88" s="2" t="s">
        <v>39</v>
      </c>
      <c r="B88" s="11">
        <v>30452</v>
      </c>
      <c r="C88" s="1">
        <f t="shared" si="16"/>
        <v>113</v>
      </c>
      <c r="D88" s="1">
        <v>10983000</v>
      </c>
      <c r="E88" s="1">
        <f t="shared" si="17"/>
        <v>89</v>
      </c>
      <c r="F88" s="12" t="s">
        <v>472</v>
      </c>
      <c r="G88">
        <v>1993</v>
      </c>
      <c r="H88" s="1">
        <f t="shared" si="18"/>
        <v>3</v>
      </c>
      <c r="I88" t="s">
        <v>240</v>
      </c>
      <c r="J88" s="4">
        <v>1397880</v>
      </c>
      <c r="K88" s="1">
        <f t="shared" si="19"/>
        <v>71</v>
      </c>
      <c r="L88" s="3">
        <f t="shared" si="20"/>
        <v>360.66596611060027</v>
      </c>
      <c r="M88" s="1">
        <f t="shared" si="21"/>
        <v>68</v>
      </c>
      <c r="N88" s="6">
        <f t="shared" si="22"/>
        <v>0.12727670035509422</v>
      </c>
      <c r="O88" s="1">
        <f t="shared" si="23"/>
        <v>87</v>
      </c>
      <c r="P88" s="1" t="s">
        <v>606</v>
      </c>
      <c r="Q88">
        <v>1993</v>
      </c>
      <c r="R88">
        <v>2026</v>
      </c>
    </row>
    <row r="89" spans="1:19" x14ac:dyDescent="0.2">
      <c r="A89" s="2" t="s">
        <v>35</v>
      </c>
      <c r="B89" s="11">
        <v>719</v>
      </c>
      <c r="C89" s="1">
        <f t="shared" si="16"/>
        <v>171</v>
      </c>
      <c r="D89" s="1">
        <v>877400</v>
      </c>
      <c r="E89" s="1">
        <f t="shared" si="17"/>
        <v>160</v>
      </c>
      <c r="F89" s="12" t="s">
        <v>473</v>
      </c>
      <c r="G89">
        <v>1975</v>
      </c>
      <c r="H89" s="1">
        <f t="shared" si="18"/>
        <v>46</v>
      </c>
      <c r="I89" t="s">
        <v>232</v>
      </c>
      <c r="J89" s="4">
        <v>111326</v>
      </c>
      <c r="K89" s="1">
        <f t="shared" si="19"/>
        <v>162</v>
      </c>
      <c r="L89" s="3">
        <f t="shared" si="20"/>
        <v>1220.3059805285118</v>
      </c>
      <c r="M89" s="1">
        <f t="shared" si="21"/>
        <v>18</v>
      </c>
      <c r="N89" s="6">
        <f t="shared" si="22"/>
        <v>0.12688169591976295</v>
      </c>
      <c r="O89" s="1">
        <f t="shared" si="23"/>
        <v>88</v>
      </c>
      <c r="P89" s="1" t="s">
        <v>608</v>
      </c>
      <c r="Q89">
        <v>1975</v>
      </c>
      <c r="R89">
        <v>2026</v>
      </c>
    </row>
    <row r="90" spans="1:19" x14ac:dyDescent="0.2">
      <c r="A90" s="2" t="s">
        <v>162</v>
      </c>
      <c r="B90" s="11">
        <v>198124</v>
      </c>
      <c r="C90" s="1">
        <f t="shared" si="16"/>
        <v>49</v>
      </c>
      <c r="D90" s="1">
        <v>66220000</v>
      </c>
      <c r="E90" s="1">
        <f t="shared" si="17"/>
        <v>23</v>
      </c>
      <c r="F90" s="12" t="s">
        <v>474</v>
      </c>
      <c r="G90">
        <v>1932</v>
      </c>
      <c r="H90" s="1">
        <f t="shared" si="18"/>
        <v>133</v>
      </c>
      <c r="I90" t="s">
        <v>377</v>
      </c>
      <c r="J90" s="4">
        <v>8305218</v>
      </c>
      <c r="K90" s="1">
        <f t="shared" si="19"/>
        <v>15</v>
      </c>
      <c r="L90" s="3">
        <f t="shared" si="20"/>
        <v>334.23512547697402</v>
      </c>
      <c r="M90" s="1">
        <f t="shared" si="21"/>
        <v>70</v>
      </c>
      <c r="N90" s="6">
        <f t="shared" si="22"/>
        <v>0.125418574448807</v>
      </c>
      <c r="O90" s="1">
        <f t="shared" si="23"/>
        <v>89</v>
      </c>
      <c r="P90" s="1" t="s">
        <v>605</v>
      </c>
      <c r="Q90">
        <v>1932</v>
      </c>
      <c r="R90">
        <v>2026</v>
      </c>
      <c r="S90" t="s">
        <v>376</v>
      </c>
    </row>
    <row r="91" spans="1:19" x14ac:dyDescent="0.2">
      <c r="A91" s="2" t="s">
        <v>133</v>
      </c>
      <c r="B91" s="11">
        <v>10169</v>
      </c>
      <c r="C91" s="1">
        <f t="shared" si="16"/>
        <v>145</v>
      </c>
      <c r="D91" s="1">
        <v>14105000</v>
      </c>
      <c r="E91" s="1">
        <f t="shared" si="17"/>
        <v>78</v>
      </c>
      <c r="F91" s="12" t="s">
        <v>475</v>
      </c>
      <c r="G91">
        <v>1962</v>
      </c>
      <c r="H91" s="1">
        <f t="shared" si="18"/>
        <v>84</v>
      </c>
      <c r="I91" t="s">
        <v>348</v>
      </c>
      <c r="J91" s="4">
        <v>1745555</v>
      </c>
      <c r="K91" s="1">
        <f t="shared" si="19"/>
        <v>61</v>
      </c>
      <c r="L91" s="3">
        <f t="shared" si="20"/>
        <v>1387.0587078375454</v>
      </c>
      <c r="M91" s="1">
        <f t="shared" si="21"/>
        <v>14</v>
      </c>
      <c r="N91" s="6">
        <f t="shared" si="22"/>
        <v>0.12375434243176178</v>
      </c>
      <c r="O91" s="1">
        <f t="shared" si="23"/>
        <v>90</v>
      </c>
      <c r="P91" s="1" t="s">
        <v>608</v>
      </c>
      <c r="Q91">
        <v>1962</v>
      </c>
      <c r="R91">
        <v>2026</v>
      </c>
    </row>
    <row r="92" spans="1:19" x14ac:dyDescent="0.2">
      <c r="A92" s="2" t="s">
        <v>30</v>
      </c>
      <c r="B92" s="11">
        <v>240324</v>
      </c>
      <c r="C92" s="1">
        <f t="shared" si="16"/>
        <v>43</v>
      </c>
      <c r="D92" s="1">
        <v>6602000</v>
      </c>
      <c r="E92" s="1">
        <f t="shared" si="17"/>
        <v>109</v>
      </c>
      <c r="F92" s="12" t="s">
        <v>476</v>
      </c>
      <c r="G92">
        <v>1958</v>
      </c>
      <c r="H92" s="1">
        <f t="shared" si="18"/>
        <v>107</v>
      </c>
      <c r="I92" t="s">
        <v>227</v>
      </c>
      <c r="J92" s="4">
        <v>812407</v>
      </c>
      <c r="K92" s="1">
        <f t="shared" si="19"/>
        <v>102</v>
      </c>
      <c r="L92" s="3">
        <f t="shared" si="20"/>
        <v>27.471247149681265</v>
      </c>
      <c r="M92" s="1">
        <f t="shared" si="21"/>
        <v>183</v>
      </c>
      <c r="N92" s="6">
        <f t="shared" si="22"/>
        <v>0.12305468039987882</v>
      </c>
      <c r="O92" s="1">
        <f t="shared" si="23"/>
        <v>91</v>
      </c>
      <c r="P92" s="1" t="s">
        <v>608</v>
      </c>
      <c r="Q92">
        <v>1958</v>
      </c>
      <c r="R92">
        <v>2026</v>
      </c>
    </row>
    <row r="93" spans="1:19" x14ac:dyDescent="0.2">
      <c r="A93" s="2" t="s">
        <v>55</v>
      </c>
      <c r="B93" s="11">
        <v>130692</v>
      </c>
      <c r="C93" s="1">
        <f t="shared" si="16"/>
        <v>66</v>
      </c>
      <c r="D93" s="1">
        <v>5642000</v>
      </c>
      <c r="E93" s="1">
        <f t="shared" si="17"/>
        <v>119</v>
      </c>
      <c r="F93" s="12" t="s">
        <v>477</v>
      </c>
      <c r="G93">
        <v>1917</v>
      </c>
      <c r="H93" s="1">
        <f t="shared" si="18"/>
        <v>143</v>
      </c>
      <c r="I93" t="s">
        <v>256</v>
      </c>
      <c r="J93" s="4">
        <v>689758</v>
      </c>
      <c r="K93" s="1">
        <f t="shared" si="19"/>
        <v>115</v>
      </c>
      <c r="L93" s="3">
        <f t="shared" si="20"/>
        <v>43.170201695589633</v>
      </c>
      <c r="M93" s="1">
        <f t="shared" si="21"/>
        <v>176</v>
      </c>
      <c r="N93" s="6">
        <f t="shared" si="22"/>
        <v>0.12225416518964906</v>
      </c>
      <c r="O93" s="1">
        <f t="shared" si="23"/>
        <v>92</v>
      </c>
      <c r="P93" s="1" t="s">
        <v>606</v>
      </c>
      <c r="Q93">
        <v>1917</v>
      </c>
      <c r="R93">
        <v>2026</v>
      </c>
    </row>
    <row r="94" spans="1:19" x14ac:dyDescent="0.2">
      <c r="A94" s="2" t="s">
        <v>138</v>
      </c>
      <c r="B94" s="11">
        <v>24</v>
      </c>
      <c r="C94" s="1">
        <f t="shared" si="16"/>
        <v>192</v>
      </c>
      <c r="D94" s="1">
        <v>34100</v>
      </c>
      <c r="E94" s="1">
        <f t="shared" si="17"/>
        <v>192</v>
      </c>
      <c r="F94" s="12" t="s">
        <v>568</v>
      </c>
      <c r="G94">
        <v>1291</v>
      </c>
      <c r="H94" s="1">
        <f t="shared" si="18"/>
        <v>189</v>
      </c>
      <c r="I94" t="s">
        <v>138</v>
      </c>
      <c r="J94" s="4">
        <v>4118</v>
      </c>
      <c r="K94" s="1">
        <f t="shared" si="19"/>
        <v>191</v>
      </c>
      <c r="L94" s="3">
        <f t="shared" si="20"/>
        <v>1420.8333333333333</v>
      </c>
      <c r="M94" s="1">
        <f t="shared" si="21"/>
        <v>12</v>
      </c>
      <c r="N94" s="6">
        <f t="shared" si="22"/>
        <v>0.1207624633431085</v>
      </c>
      <c r="O94" s="1">
        <f t="shared" si="23"/>
        <v>93</v>
      </c>
      <c r="P94" s="1" t="s">
        <v>606</v>
      </c>
      <c r="Q94">
        <v>1291</v>
      </c>
      <c r="R94">
        <v>2026</v>
      </c>
    </row>
    <row r="95" spans="1:19" x14ac:dyDescent="0.2">
      <c r="A95" s="2" t="s">
        <v>117</v>
      </c>
      <c r="B95" s="11">
        <v>47573</v>
      </c>
      <c r="C95" s="1">
        <f t="shared" si="16"/>
        <v>97</v>
      </c>
      <c r="D95" s="1">
        <v>26403000</v>
      </c>
      <c r="E95" s="1">
        <f t="shared" si="17"/>
        <v>56</v>
      </c>
      <c r="F95" s="12" t="s">
        <v>478</v>
      </c>
      <c r="G95">
        <v>1948</v>
      </c>
      <c r="H95" s="1">
        <f t="shared" si="18"/>
        <v>120</v>
      </c>
      <c r="I95" t="s">
        <v>331</v>
      </c>
      <c r="J95" s="4">
        <v>3157538</v>
      </c>
      <c r="K95" s="1">
        <f t="shared" si="19"/>
        <v>35</v>
      </c>
      <c r="L95" s="3">
        <f t="shared" si="20"/>
        <v>554.9996846951002</v>
      </c>
      <c r="M95" s="1">
        <f t="shared" si="21"/>
        <v>49</v>
      </c>
      <c r="N95" s="6">
        <f t="shared" si="22"/>
        <v>0.11959012233458319</v>
      </c>
      <c r="O95" s="1">
        <f t="shared" si="23"/>
        <v>94</v>
      </c>
      <c r="P95" s="1" t="s">
        <v>605</v>
      </c>
      <c r="Q95">
        <v>1948</v>
      </c>
      <c r="R95">
        <v>2026</v>
      </c>
    </row>
    <row r="96" spans="1:19" x14ac:dyDescent="0.2">
      <c r="A96" s="2" t="s">
        <v>158</v>
      </c>
      <c r="B96" s="11">
        <v>71498</v>
      </c>
      <c r="C96" s="1">
        <f t="shared" si="16"/>
        <v>87</v>
      </c>
      <c r="D96" s="1">
        <v>23607000</v>
      </c>
      <c r="E96" s="1">
        <f t="shared" si="17"/>
        <v>59</v>
      </c>
      <c r="F96" s="12" t="s">
        <v>479</v>
      </c>
      <c r="G96">
        <v>1963</v>
      </c>
      <c r="H96" s="1">
        <f t="shared" si="18"/>
        <v>81</v>
      </c>
      <c r="I96" t="s">
        <v>371</v>
      </c>
      <c r="J96" s="4">
        <v>2799960</v>
      </c>
      <c r="K96" s="1">
        <f t="shared" si="19"/>
        <v>39</v>
      </c>
      <c r="L96" s="3">
        <f t="shared" si="20"/>
        <v>330.1770678900109</v>
      </c>
      <c r="M96" s="1">
        <f t="shared" si="21"/>
        <v>71</v>
      </c>
      <c r="N96" s="6">
        <f t="shared" si="22"/>
        <v>0.11860719278180201</v>
      </c>
      <c r="O96" s="1">
        <f t="shared" si="23"/>
        <v>95</v>
      </c>
      <c r="P96" s="1" t="s">
        <v>605</v>
      </c>
      <c r="Q96">
        <v>1963</v>
      </c>
      <c r="R96">
        <v>2026</v>
      </c>
    </row>
    <row r="97" spans="1:18" x14ac:dyDescent="0.2">
      <c r="A97" s="2" t="s">
        <v>160</v>
      </c>
      <c r="B97" s="11">
        <v>54595</v>
      </c>
      <c r="C97" s="1">
        <f t="shared" si="16"/>
        <v>94</v>
      </c>
      <c r="D97" s="1">
        <v>10576000</v>
      </c>
      <c r="E97" s="1">
        <f t="shared" si="17"/>
        <v>92</v>
      </c>
      <c r="F97" s="12" t="s">
        <v>480</v>
      </c>
      <c r="G97">
        <v>1991</v>
      </c>
      <c r="H97" s="1">
        <f t="shared" si="18"/>
        <v>8</v>
      </c>
      <c r="I97" t="s">
        <v>373</v>
      </c>
      <c r="J97" s="4">
        <v>1228400</v>
      </c>
      <c r="K97" s="1">
        <f t="shared" si="19"/>
        <v>79</v>
      </c>
      <c r="L97" s="3">
        <f t="shared" si="20"/>
        <v>193.7173733858412</v>
      </c>
      <c r="M97" s="1">
        <f t="shared" si="21"/>
        <v>110</v>
      </c>
      <c r="N97" s="6">
        <f t="shared" si="22"/>
        <v>0.11614977307110438</v>
      </c>
      <c r="O97" s="1">
        <f t="shared" si="23"/>
        <v>96</v>
      </c>
      <c r="P97" s="1" t="s">
        <v>605</v>
      </c>
      <c r="Q97">
        <v>1991</v>
      </c>
      <c r="R97">
        <v>2026</v>
      </c>
    </row>
    <row r="98" spans="1:18" x14ac:dyDescent="0.2">
      <c r="A98" s="2" t="s">
        <v>76</v>
      </c>
      <c r="B98" s="11">
        <v>145937</v>
      </c>
      <c r="C98" s="1">
        <f t="shared" ref="C98:C129" si="24">RANK(B98,B$2:B$197)</f>
        <v>62</v>
      </c>
      <c r="D98" s="1">
        <v>123105000</v>
      </c>
      <c r="E98" s="1">
        <f t="shared" ref="E98:E129" si="25">RANK(D98,D$2:D$197)</f>
        <v>11</v>
      </c>
      <c r="F98" s="12" t="s">
        <v>569</v>
      </c>
      <c r="G98">
        <v>710</v>
      </c>
      <c r="H98" s="1">
        <f t="shared" ref="H98:H129" si="26">RANK(G98,G$2:G$197)</f>
        <v>194</v>
      </c>
      <c r="I98" t="s">
        <v>290</v>
      </c>
      <c r="J98" s="4">
        <v>14254039</v>
      </c>
      <c r="K98" s="1">
        <f t="shared" ref="K98:K129" si="27">RANK(J98,J$2:J$197)</f>
        <v>3</v>
      </c>
      <c r="L98" s="3">
        <f t="shared" ref="L98:L129" si="28">D98/B98</f>
        <v>843.548928647293</v>
      </c>
      <c r="M98" s="1">
        <f t="shared" ref="M98:M129" si="29">RANK(L98,L$2:L$197)</f>
        <v>27</v>
      </c>
      <c r="N98" s="6">
        <f t="shared" ref="N98:N129" si="30">J98/D98</f>
        <v>0.11578765281670118</v>
      </c>
      <c r="O98" s="1">
        <f t="shared" ref="O98:O129" si="31">RANK(N98,N$2:N$197)</f>
        <v>97</v>
      </c>
      <c r="P98" s="1" t="s">
        <v>605</v>
      </c>
      <c r="Q98">
        <v>710</v>
      </c>
      <c r="R98">
        <v>2026</v>
      </c>
    </row>
    <row r="99" spans="1:18" x14ac:dyDescent="0.2">
      <c r="A99" s="2" t="s">
        <v>136</v>
      </c>
      <c r="B99" s="11">
        <v>150</v>
      </c>
      <c r="C99" s="1">
        <f t="shared" si="24"/>
        <v>185</v>
      </c>
      <c r="D99" s="1">
        <v>111600</v>
      </c>
      <c r="E99" s="1">
        <f t="shared" si="25"/>
        <v>181</v>
      </c>
      <c r="F99" s="12" t="s">
        <v>481</v>
      </c>
      <c r="G99">
        <v>1979</v>
      </c>
      <c r="H99" s="1">
        <f t="shared" si="26"/>
        <v>35</v>
      </c>
      <c r="I99" t="s">
        <v>351</v>
      </c>
      <c r="J99" s="4">
        <v>12909</v>
      </c>
      <c r="K99" s="1">
        <f t="shared" si="27"/>
        <v>186</v>
      </c>
      <c r="L99" s="3">
        <f t="shared" si="28"/>
        <v>744</v>
      </c>
      <c r="M99" s="1">
        <f t="shared" si="29"/>
        <v>31</v>
      </c>
      <c r="N99" s="6">
        <f t="shared" si="30"/>
        <v>0.11567204301075269</v>
      </c>
      <c r="O99" s="1">
        <f t="shared" si="31"/>
        <v>98</v>
      </c>
      <c r="P99" s="1" t="s">
        <v>607</v>
      </c>
      <c r="Q99">
        <v>1979</v>
      </c>
      <c r="R99">
        <v>2026</v>
      </c>
    </row>
    <row r="100" spans="1:18" x14ac:dyDescent="0.2">
      <c r="A100" s="2" t="s">
        <v>62</v>
      </c>
      <c r="B100" s="11">
        <v>94926</v>
      </c>
      <c r="C100" s="1">
        <f t="shared" si="24"/>
        <v>77</v>
      </c>
      <c r="D100" s="1">
        <v>14364000</v>
      </c>
      <c r="E100" s="1">
        <f t="shared" si="25"/>
        <v>76</v>
      </c>
      <c r="F100" s="12" t="s">
        <v>482</v>
      </c>
      <c r="G100">
        <v>1958</v>
      </c>
      <c r="H100" s="1">
        <f t="shared" si="26"/>
        <v>107</v>
      </c>
      <c r="I100" t="s">
        <v>266</v>
      </c>
      <c r="J100" s="4">
        <v>1660973</v>
      </c>
      <c r="K100" s="1">
        <f t="shared" si="27"/>
        <v>66</v>
      </c>
      <c r="L100" s="3">
        <f t="shared" si="28"/>
        <v>151.31786865558436</v>
      </c>
      <c r="M100" s="1">
        <f t="shared" si="29"/>
        <v>125</v>
      </c>
      <c r="N100" s="6">
        <f t="shared" si="30"/>
        <v>0.11563443330548594</v>
      </c>
      <c r="O100" s="1">
        <f t="shared" si="31"/>
        <v>99</v>
      </c>
      <c r="P100" s="1" t="s">
        <v>608</v>
      </c>
      <c r="Q100">
        <v>1958</v>
      </c>
      <c r="R100">
        <v>2026</v>
      </c>
    </row>
    <row r="101" spans="1:18" x14ac:dyDescent="0.2">
      <c r="A101" s="2" t="s">
        <v>135</v>
      </c>
      <c r="B101" s="11">
        <v>242</v>
      </c>
      <c r="C101" s="1">
        <f t="shared" si="24"/>
        <v>179</v>
      </c>
      <c r="D101" s="1">
        <v>174800</v>
      </c>
      <c r="E101" s="1">
        <f t="shared" si="25"/>
        <v>178</v>
      </c>
      <c r="F101" s="12" t="s">
        <v>483</v>
      </c>
      <c r="G101">
        <v>1979</v>
      </c>
      <c r="H101" s="1">
        <f t="shared" si="26"/>
        <v>35</v>
      </c>
      <c r="I101" t="s">
        <v>350</v>
      </c>
      <c r="J101" s="4">
        <v>20000</v>
      </c>
      <c r="K101" s="1">
        <f t="shared" si="27"/>
        <v>183</v>
      </c>
      <c r="L101" s="3">
        <f t="shared" si="28"/>
        <v>722.31404958677683</v>
      </c>
      <c r="M101" s="1">
        <f t="shared" si="29"/>
        <v>34</v>
      </c>
      <c r="N101" s="6">
        <f t="shared" si="30"/>
        <v>0.11441647597254005</v>
      </c>
      <c r="O101" s="1">
        <f t="shared" si="31"/>
        <v>100</v>
      </c>
      <c r="P101" s="1" t="s">
        <v>607</v>
      </c>
      <c r="Q101">
        <v>1979</v>
      </c>
      <c r="R101">
        <v>2026</v>
      </c>
    </row>
    <row r="102" spans="1:18" x14ac:dyDescent="0.2">
      <c r="A102" s="2" t="s">
        <v>79</v>
      </c>
      <c r="B102" s="11">
        <v>224961</v>
      </c>
      <c r="C102" s="1">
        <f t="shared" si="24"/>
        <v>46</v>
      </c>
      <c r="D102" s="1">
        <v>53477000</v>
      </c>
      <c r="E102" s="1">
        <f t="shared" si="25"/>
        <v>28</v>
      </c>
      <c r="F102" s="12" t="s">
        <v>484</v>
      </c>
      <c r="G102">
        <v>1964</v>
      </c>
      <c r="H102" s="1">
        <f t="shared" si="26"/>
        <v>77</v>
      </c>
      <c r="I102" t="s">
        <v>293</v>
      </c>
      <c r="J102" s="4">
        <v>6100000</v>
      </c>
      <c r="K102" s="1">
        <f t="shared" si="27"/>
        <v>21</v>
      </c>
      <c r="L102" s="3">
        <f t="shared" si="28"/>
        <v>237.71675979391983</v>
      </c>
      <c r="M102" s="1">
        <f t="shared" si="29"/>
        <v>96</v>
      </c>
      <c r="N102" s="6">
        <f t="shared" si="30"/>
        <v>0.11406773005217197</v>
      </c>
      <c r="O102" s="1">
        <f t="shared" si="31"/>
        <v>101</v>
      </c>
      <c r="P102" s="1" t="s">
        <v>608</v>
      </c>
      <c r="Q102">
        <v>1964</v>
      </c>
      <c r="R102">
        <v>2026</v>
      </c>
    </row>
    <row r="103" spans="1:18" x14ac:dyDescent="0.2">
      <c r="A103" s="2" t="s">
        <v>101</v>
      </c>
      <c r="B103" s="11">
        <v>775</v>
      </c>
      <c r="C103" s="1">
        <f t="shared" si="24"/>
        <v>170</v>
      </c>
      <c r="D103" s="1">
        <v>1232000</v>
      </c>
      <c r="E103" s="1">
        <f t="shared" si="25"/>
        <v>156</v>
      </c>
      <c r="F103" s="12" t="s">
        <v>485</v>
      </c>
      <c r="G103">
        <v>1968</v>
      </c>
      <c r="H103" s="1">
        <f t="shared" si="26"/>
        <v>64</v>
      </c>
      <c r="I103" t="s">
        <v>315</v>
      </c>
      <c r="J103" s="4">
        <v>140403</v>
      </c>
      <c r="K103" s="1">
        <f t="shared" si="27"/>
        <v>155</v>
      </c>
      <c r="L103" s="3">
        <f t="shared" si="28"/>
        <v>1589.6774193548388</v>
      </c>
      <c r="M103" s="1">
        <f t="shared" si="29"/>
        <v>9</v>
      </c>
      <c r="N103" s="6">
        <f t="shared" si="30"/>
        <v>0.11396347402597402</v>
      </c>
      <c r="O103" s="1">
        <f t="shared" si="31"/>
        <v>102</v>
      </c>
      <c r="P103" s="1" t="s">
        <v>608</v>
      </c>
      <c r="Q103">
        <v>1968</v>
      </c>
      <c r="R103">
        <v>2026</v>
      </c>
    </row>
    <row r="104" spans="1:18" x14ac:dyDescent="0.2">
      <c r="A104" s="2" t="s">
        <v>54</v>
      </c>
      <c r="B104" s="11">
        <v>7055</v>
      </c>
      <c r="C104" s="1">
        <f t="shared" si="24"/>
        <v>152</v>
      </c>
      <c r="D104" s="1">
        <v>900900</v>
      </c>
      <c r="E104" s="1">
        <f t="shared" si="25"/>
        <v>159</v>
      </c>
      <c r="F104" s="12" t="s">
        <v>486</v>
      </c>
      <c r="G104">
        <v>1970</v>
      </c>
      <c r="H104" s="1">
        <f t="shared" si="26"/>
        <v>62</v>
      </c>
      <c r="I104" t="s">
        <v>255</v>
      </c>
      <c r="J104" s="4">
        <v>101166</v>
      </c>
      <c r="K104" s="1">
        <f t="shared" si="27"/>
        <v>165</v>
      </c>
      <c r="L104" s="3">
        <f t="shared" si="28"/>
        <v>127.6966690290574</v>
      </c>
      <c r="M104" s="1">
        <f t="shared" si="29"/>
        <v>137</v>
      </c>
      <c r="N104" s="6">
        <f t="shared" si="30"/>
        <v>0.11229437229437229</v>
      </c>
      <c r="O104" s="1">
        <f t="shared" si="31"/>
        <v>103</v>
      </c>
      <c r="P104" s="1" t="s">
        <v>609</v>
      </c>
      <c r="Q104">
        <v>1970</v>
      </c>
      <c r="R104">
        <v>2026</v>
      </c>
    </row>
    <row r="105" spans="1:18" x14ac:dyDescent="0.2">
      <c r="A105" s="2" t="s">
        <v>41</v>
      </c>
      <c r="B105" s="11">
        <v>16585</v>
      </c>
      <c r="C105" s="1">
        <f t="shared" si="24"/>
        <v>130</v>
      </c>
      <c r="D105" s="1">
        <v>5990000</v>
      </c>
      <c r="E105" s="1">
        <f t="shared" si="25"/>
        <v>116</v>
      </c>
      <c r="F105" s="12" t="s">
        <v>570</v>
      </c>
      <c r="G105">
        <v>1849</v>
      </c>
      <c r="H105" s="1">
        <f t="shared" si="26"/>
        <v>159</v>
      </c>
      <c r="I105" t="s">
        <v>242</v>
      </c>
      <c r="J105" s="4">
        <v>667099</v>
      </c>
      <c r="K105" s="1">
        <f t="shared" si="27"/>
        <v>117</v>
      </c>
      <c r="L105" s="3">
        <f t="shared" si="28"/>
        <v>361.16973168525777</v>
      </c>
      <c r="M105" s="1">
        <f t="shared" si="29"/>
        <v>67</v>
      </c>
      <c r="N105" s="6">
        <f t="shared" si="30"/>
        <v>0.11136878130217029</v>
      </c>
      <c r="O105" s="1">
        <f t="shared" si="31"/>
        <v>104</v>
      </c>
      <c r="P105" s="1" t="s">
        <v>606</v>
      </c>
      <c r="Q105">
        <v>1849</v>
      </c>
      <c r="R105">
        <v>2026</v>
      </c>
    </row>
    <row r="106" spans="1:18" x14ac:dyDescent="0.2">
      <c r="A106" s="2" t="s">
        <v>193</v>
      </c>
      <c r="B106" s="11">
        <v>8522</v>
      </c>
      <c r="C106" s="1">
        <f t="shared" si="24"/>
        <v>149</v>
      </c>
      <c r="D106" s="1">
        <v>9270000</v>
      </c>
      <c r="E106" s="1">
        <f t="shared" si="25"/>
        <v>97</v>
      </c>
      <c r="F106" s="12" t="s">
        <v>487</v>
      </c>
      <c r="G106">
        <v>1948</v>
      </c>
      <c r="H106" s="1">
        <f t="shared" si="26"/>
        <v>120</v>
      </c>
      <c r="I106" t="s">
        <v>287</v>
      </c>
      <c r="J106" s="4">
        <v>1028366</v>
      </c>
      <c r="K106" s="1">
        <f t="shared" si="27"/>
        <v>93</v>
      </c>
      <c r="L106" s="3">
        <f t="shared" si="28"/>
        <v>1087.77282328092</v>
      </c>
      <c r="M106" s="1">
        <f t="shared" si="29"/>
        <v>21</v>
      </c>
      <c r="N106" s="6">
        <f t="shared" si="30"/>
        <v>0.11093484358144552</v>
      </c>
      <c r="O106" s="1">
        <f t="shared" si="31"/>
        <v>105</v>
      </c>
      <c r="P106" s="1" t="s">
        <v>605</v>
      </c>
      <c r="Q106">
        <v>1948</v>
      </c>
      <c r="R106">
        <v>2026</v>
      </c>
    </row>
    <row r="107" spans="1:18" x14ac:dyDescent="0.2">
      <c r="A107" s="2" t="s">
        <v>73</v>
      </c>
      <c r="B107" s="11">
        <v>27459</v>
      </c>
      <c r="C107" s="1">
        <f t="shared" si="24"/>
        <v>117</v>
      </c>
      <c r="D107" s="1">
        <v>5374000</v>
      </c>
      <c r="E107" s="1">
        <f t="shared" si="25"/>
        <v>122</v>
      </c>
      <c r="F107" s="12" t="s">
        <v>488</v>
      </c>
      <c r="G107">
        <v>1948</v>
      </c>
      <c r="H107" s="1">
        <f t="shared" si="26"/>
        <v>120</v>
      </c>
      <c r="I107" t="s">
        <v>286</v>
      </c>
      <c r="J107" s="4">
        <v>592713</v>
      </c>
      <c r="K107" s="1">
        <f t="shared" si="27"/>
        <v>121</v>
      </c>
      <c r="L107" s="3">
        <f t="shared" si="28"/>
        <v>195.70996758804034</v>
      </c>
      <c r="M107" s="1">
        <f t="shared" si="29"/>
        <v>107</v>
      </c>
      <c r="N107" s="6">
        <f t="shared" si="30"/>
        <v>0.11029270561965017</v>
      </c>
      <c r="O107" s="1">
        <f t="shared" si="31"/>
        <v>106</v>
      </c>
      <c r="P107" s="1" t="s">
        <v>606</v>
      </c>
      <c r="Q107">
        <v>1948</v>
      </c>
      <c r="R107">
        <v>2026</v>
      </c>
    </row>
    <row r="108" spans="1:18" x14ac:dyDescent="0.2">
      <c r="A108" s="2" t="s">
        <v>147</v>
      </c>
      <c r="B108" s="11">
        <v>11740</v>
      </c>
      <c r="C108" s="1">
        <f t="shared" si="24"/>
        <v>138</v>
      </c>
      <c r="D108" s="1">
        <v>837600</v>
      </c>
      <c r="E108" s="1">
        <f t="shared" si="25"/>
        <v>161</v>
      </c>
      <c r="F108" s="12" t="s">
        <v>489</v>
      </c>
      <c r="G108">
        <v>1978</v>
      </c>
      <c r="H108" s="1">
        <f t="shared" si="26"/>
        <v>40</v>
      </c>
      <c r="I108" t="s">
        <v>360</v>
      </c>
      <c r="J108" s="4">
        <v>92344</v>
      </c>
      <c r="K108" s="1">
        <f t="shared" si="27"/>
        <v>167</v>
      </c>
      <c r="L108" s="3">
        <f t="shared" si="28"/>
        <v>71.345826235093696</v>
      </c>
      <c r="M108" s="1">
        <f t="shared" si="29"/>
        <v>159</v>
      </c>
      <c r="N108" s="6">
        <f t="shared" si="30"/>
        <v>0.11024832855778414</v>
      </c>
      <c r="O108" s="1">
        <f t="shared" si="31"/>
        <v>107</v>
      </c>
      <c r="P108" s="1" t="s">
        <v>609</v>
      </c>
      <c r="Q108">
        <v>1978</v>
      </c>
      <c r="R108">
        <v>2026</v>
      </c>
    </row>
    <row r="109" spans="1:18" x14ac:dyDescent="0.2">
      <c r="A109" s="2" t="s">
        <v>84</v>
      </c>
      <c r="B109" s="11">
        <v>91429</v>
      </c>
      <c r="C109" s="1">
        <f t="shared" si="24"/>
        <v>82</v>
      </c>
      <c r="D109" s="1">
        <v>7767000</v>
      </c>
      <c r="E109" s="1">
        <f t="shared" si="25"/>
        <v>104</v>
      </c>
      <c r="F109" s="12" t="s">
        <v>490</v>
      </c>
      <c r="G109">
        <v>1953</v>
      </c>
      <c r="H109" s="1">
        <f t="shared" si="26"/>
        <v>115</v>
      </c>
      <c r="I109" t="s">
        <v>299</v>
      </c>
      <c r="J109" s="4">
        <v>840940</v>
      </c>
      <c r="K109" s="1">
        <f t="shared" si="27"/>
        <v>101</v>
      </c>
      <c r="L109" s="3">
        <f t="shared" si="28"/>
        <v>84.951164291417385</v>
      </c>
      <c r="M109" s="1">
        <f t="shared" si="29"/>
        <v>151</v>
      </c>
      <c r="N109" s="6">
        <f t="shared" si="30"/>
        <v>0.10827088966138793</v>
      </c>
      <c r="O109" s="1">
        <f t="shared" si="31"/>
        <v>108</v>
      </c>
      <c r="P109" s="1" t="s">
        <v>605</v>
      </c>
      <c r="Q109">
        <v>1953</v>
      </c>
      <c r="R109">
        <v>2026</v>
      </c>
    </row>
    <row r="110" spans="1:18" x14ac:dyDescent="0.2">
      <c r="A110" s="2" t="s">
        <v>159</v>
      </c>
      <c r="B110" s="11">
        <v>13976</v>
      </c>
      <c r="C110" s="1">
        <f t="shared" si="24"/>
        <v>134</v>
      </c>
      <c r="D110" s="1">
        <v>23389000</v>
      </c>
      <c r="E110" s="1">
        <f t="shared" si="25"/>
        <v>60</v>
      </c>
      <c r="F110" s="12" t="s">
        <v>491</v>
      </c>
      <c r="G110">
        <v>1949</v>
      </c>
      <c r="H110" s="1">
        <f t="shared" si="26"/>
        <v>119</v>
      </c>
      <c r="I110" t="s">
        <v>372</v>
      </c>
      <c r="J110" s="4">
        <v>2494813</v>
      </c>
      <c r="K110" s="1">
        <f t="shared" si="27"/>
        <v>42</v>
      </c>
      <c r="L110" s="3">
        <f t="shared" si="28"/>
        <v>1673.5117344018317</v>
      </c>
      <c r="M110" s="1">
        <f t="shared" si="29"/>
        <v>8</v>
      </c>
      <c r="N110" s="6">
        <f t="shared" si="30"/>
        <v>0.10666608234640215</v>
      </c>
      <c r="O110" s="1">
        <f t="shared" si="31"/>
        <v>109</v>
      </c>
      <c r="P110" s="1" t="s">
        <v>605</v>
      </c>
      <c r="Q110">
        <v>1949</v>
      </c>
      <c r="R110">
        <v>2026</v>
      </c>
    </row>
    <row r="111" spans="1:18" x14ac:dyDescent="0.2">
      <c r="A111" s="2" t="s">
        <v>181</v>
      </c>
      <c r="B111" s="11">
        <v>290585</v>
      </c>
      <c r="C111" s="1">
        <f t="shared" si="24"/>
        <v>38</v>
      </c>
      <c r="D111" s="1">
        <v>21548000</v>
      </c>
      <c r="E111" s="1">
        <f t="shared" si="25"/>
        <v>62</v>
      </c>
      <c r="F111" s="12" t="s">
        <v>492</v>
      </c>
      <c r="G111">
        <v>1964</v>
      </c>
      <c r="H111" s="1">
        <f t="shared" si="26"/>
        <v>77</v>
      </c>
      <c r="I111" t="s">
        <v>397</v>
      </c>
      <c r="J111" s="4">
        <v>2204059</v>
      </c>
      <c r="K111" s="1">
        <f t="shared" si="27"/>
        <v>46</v>
      </c>
      <c r="L111" s="3">
        <f t="shared" si="28"/>
        <v>74.153862036925517</v>
      </c>
      <c r="M111" s="1">
        <f t="shared" si="29"/>
        <v>156</v>
      </c>
      <c r="N111" s="6">
        <f t="shared" si="30"/>
        <v>0.10228601262298125</v>
      </c>
      <c r="O111" s="1">
        <f t="shared" si="31"/>
        <v>110</v>
      </c>
      <c r="P111" s="1" t="s">
        <v>608</v>
      </c>
      <c r="Q111">
        <v>1964</v>
      </c>
      <c r="R111">
        <v>2026</v>
      </c>
    </row>
    <row r="112" spans="1:18" x14ac:dyDescent="0.2">
      <c r="A112" s="2" t="s">
        <v>71</v>
      </c>
      <c r="B112" s="11">
        <v>629674</v>
      </c>
      <c r="C112" s="1">
        <f t="shared" si="24"/>
        <v>17</v>
      </c>
      <c r="D112" s="1">
        <v>86526000</v>
      </c>
      <c r="E112" s="1">
        <f t="shared" si="25"/>
        <v>18</v>
      </c>
      <c r="F112" s="12" t="s">
        <v>592</v>
      </c>
      <c r="G112">
        <v>-550</v>
      </c>
      <c r="H112" s="1">
        <f t="shared" si="26"/>
        <v>196</v>
      </c>
      <c r="I112" t="s">
        <v>279</v>
      </c>
      <c r="J112" s="4">
        <v>8693706</v>
      </c>
      <c r="K112" s="1">
        <f t="shared" si="27"/>
        <v>14</v>
      </c>
      <c r="L112" s="3">
        <f t="shared" si="28"/>
        <v>137.41396341598985</v>
      </c>
      <c r="M112" s="1">
        <f t="shared" si="29"/>
        <v>132</v>
      </c>
      <c r="N112" s="6">
        <f t="shared" si="30"/>
        <v>0.10047507107690173</v>
      </c>
      <c r="O112" s="1">
        <f t="shared" si="31"/>
        <v>111</v>
      </c>
      <c r="P112" s="1" t="s">
        <v>605</v>
      </c>
      <c r="Q112">
        <v>-550</v>
      </c>
      <c r="R112">
        <v>2026</v>
      </c>
    </row>
    <row r="113" spans="1:19" x14ac:dyDescent="0.2">
      <c r="A113" s="2" t="s">
        <v>46</v>
      </c>
      <c r="B113" s="11">
        <v>99170</v>
      </c>
      <c r="C113" s="1">
        <f t="shared" si="24"/>
        <v>76</v>
      </c>
      <c r="D113" s="1">
        <v>17573000</v>
      </c>
      <c r="E113" s="1">
        <f t="shared" si="25"/>
        <v>72</v>
      </c>
      <c r="F113" s="12" t="s">
        <v>571</v>
      </c>
      <c r="G113">
        <v>1830</v>
      </c>
      <c r="H113" s="1">
        <f t="shared" si="26"/>
        <v>167</v>
      </c>
      <c r="I113" t="s">
        <v>247</v>
      </c>
      <c r="J113" s="4">
        <v>1763275</v>
      </c>
      <c r="K113" s="1">
        <f t="shared" si="27"/>
        <v>59</v>
      </c>
      <c r="L113" s="3">
        <f t="shared" si="28"/>
        <v>177.2007663607946</v>
      </c>
      <c r="M113" s="1">
        <f t="shared" si="29"/>
        <v>119</v>
      </c>
      <c r="N113" s="6">
        <f t="shared" si="30"/>
        <v>0.1003400102429864</v>
      </c>
      <c r="O113" s="1">
        <f t="shared" si="31"/>
        <v>112</v>
      </c>
      <c r="P113" s="1" t="s">
        <v>610</v>
      </c>
      <c r="Q113">
        <v>1830</v>
      </c>
      <c r="R113">
        <v>2026</v>
      </c>
    </row>
    <row r="114" spans="1:19" x14ac:dyDescent="0.2">
      <c r="A114" s="2" t="s">
        <v>25</v>
      </c>
      <c r="B114" s="11">
        <v>104543</v>
      </c>
      <c r="C114" s="1">
        <f t="shared" si="24"/>
        <v>73</v>
      </c>
      <c r="D114" s="1">
        <v>24071000</v>
      </c>
      <c r="E114" s="1">
        <f t="shared" si="25"/>
        <v>58</v>
      </c>
      <c r="F114" s="12" t="s">
        <v>493</v>
      </c>
      <c r="G114">
        <v>1960</v>
      </c>
      <c r="H114" s="1">
        <f t="shared" si="26"/>
        <v>92</v>
      </c>
      <c r="I114" t="s">
        <v>219</v>
      </c>
      <c r="J114" s="4">
        <v>2415266</v>
      </c>
      <c r="K114" s="1">
        <f t="shared" si="27"/>
        <v>43</v>
      </c>
      <c r="L114" s="3">
        <f t="shared" si="28"/>
        <v>230.24975368986924</v>
      </c>
      <c r="M114" s="1">
        <f t="shared" si="29"/>
        <v>100</v>
      </c>
      <c r="N114" s="6">
        <f t="shared" si="30"/>
        <v>0.10033924639607827</v>
      </c>
      <c r="O114" s="1">
        <f t="shared" si="31"/>
        <v>113</v>
      </c>
      <c r="P114" s="1" t="s">
        <v>608</v>
      </c>
      <c r="Q114">
        <v>1960</v>
      </c>
      <c r="R114">
        <v>2026</v>
      </c>
      <c r="S114" t="s">
        <v>220</v>
      </c>
    </row>
    <row r="115" spans="1:19" x14ac:dyDescent="0.2">
      <c r="A115" s="2" t="s">
        <v>21</v>
      </c>
      <c r="B115" s="11">
        <v>220141</v>
      </c>
      <c r="C115" s="1">
        <f t="shared" si="24"/>
        <v>47</v>
      </c>
      <c r="D115" s="1">
        <v>2475000</v>
      </c>
      <c r="E115" s="1">
        <f t="shared" si="25"/>
        <v>141</v>
      </c>
      <c r="F115" s="12" t="s">
        <v>494</v>
      </c>
      <c r="G115">
        <v>1966</v>
      </c>
      <c r="H115" s="1">
        <f t="shared" si="26"/>
        <v>68</v>
      </c>
      <c r="I115" t="s">
        <v>215</v>
      </c>
      <c r="J115" s="4">
        <v>246325</v>
      </c>
      <c r="K115" s="1">
        <f t="shared" si="27"/>
        <v>148</v>
      </c>
      <c r="L115" s="3">
        <f t="shared" si="28"/>
        <v>11.242794390867671</v>
      </c>
      <c r="M115" s="1">
        <f t="shared" si="29"/>
        <v>189</v>
      </c>
      <c r="N115" s="6">
        <f t="shared" si="30"/>
        <v>9.9525252525252531E-2</v>
      </c>
      <c r="O115" s="1">
        <f t="shared" si="31"/>
        <v>114</v>
      </c>
      <c r="P115" s="1" t="s">
        <v>608</v>
      </c>
      <c r="Q115">
        <v>1966</v>
      </c>
      <c r="R115">
        <v>2026</v>
      </c>
    </row>
    <row r="116" spans="1:19" x14ac:dyDescent="0.2">
      <c r="A116" s="2" t="s">
        <v>131</v>
      </c>
      <c r="B116" s="11">
        <v>92046</v>
      </c>
      <c r="C116" s="1">
        <f t="shared" si="24"/>
        <v>81</v>
      </c>
      <c r="D116" s="1">
        <v>19079000</v>
      </c>
      <c r="E116" s="1">
        <f t="shared" si="25"/>
        <v>69</v>
      </c>
      <c r="F116" s="12" t="s">
        <v>572</v>
      </c>
      <c r="G116">
        <v>1877</v>
      </c>
      <c r="H116" s="1">
        <f t="shared" si="26"/>
        <v>153</v>
      </c>
      <c r="I116" t="s">
        <v>346</v>
      </c>
      <c r="J116" s="4">
        <v>1877155</v>
      </c>
      <c r="K116" s="1">
        <f t="shared" si="27"/>
        <v>56</v>
      </c>
      <c r="L116" s="3">
        <f t="shared" si="28"/>
        <v>207.27679638441649</v>
      </c>
      <c r="M116" s="1">
        <f t="shared" si="29"/>
        <v>105</v>
      </c>
      <c r="N116" s="6">
        <f t="shared" si="30"/>
        <v>9.8388542376434823E-2</v>
      </c>
      <c r="O116" s="1">
        <f t="shared" si="31"/>
        <v>115</v>
      </c>
      <c r="P116" s="1" t="s">
        <v>606</v>
      </c>
      <c r="Q116">
        <v>1877</v>
      </c>
      <c r="R116">
        <v>2026</v>
      </c>
    </row>
    <row r="117" spans="1:19" x14ac:dyDescent="0.2">
      <c r="A117" s="2" t="s">
        <v>47</v>
      </c>
      <c r="B117" s="11">
        <v>384790</v>
      </c>
      <c r="C117" s="1">
        <f t="shared" si="24"/>
        <v>29</v>
      </c>
      <c r="D117" s="1">
        <v>107838000</v>
      </c>
      <c r="E117" s="1">
        <f t="shared" si="25"/>
        <v>15</v>
      </c>
      <c r="F117" s="12" t="s">
        <v>495</v>
      </c>
      <c r="G117">
        <v>1922</v>
      </c>
      <c r="H117" s="1">
        <f t="shared" si="26"/>
        <v>141</v>
      </c>
      <c r="I117" t="s">
        <v>248</v>
      </c>
      <c r="J117" s="4">
        <v>10500000</v>
      </c>
      <c r="K117" s="1">
        <f t="shared" si="27"/>
        <v>6</v>
      </c>
      <c r="L117" s="3">
        <f t="shared" si="28"/>
        <v>280.25156578913175</v>
      </c>
      <c r="M117" s="1">
        <f t="shared" si="29"/>
        <v>81</v>
      </c>
      <c r="N117" s="6">
        <f t="shared" si="30"/>
        <v>9.7368274634173482E-2</v>
      </c>
      <c r="O117" s="1">
        <f t="shared" si="31"/>
        <v>116</v>
      </c>
      <c r="P117" s="1" t="s">
        <v>608</v>
      </c>
      <c r="Q117">
        <v>1922</v>
      </c>
      <c r="R117">
        <v>2026</v>
      </c>
    </row>
    <row r="118" spans="1:19" x14ac:dyDescent="0.2">
      <c r="A118" s="2" t="s">
        <v>65</v>
      </c>
      <c r="B118" s="11">
        <v>10450</v>
      </c>
      <c r="C118" s="1">
        <f t="shared" si="24"/>
        <v>144</v>
      </c>
      <c r="D118" s="1">
        <v>12562000</v>
      </c>
      <c r="E118" s="1">
        <f t="shared" si="25"/>
        <v>81</v>
      </c>
      <c r="F118" s="12" t="s">
        <v>573</v>
      </c>
      <c r="G118">
        <v>1825</v>
      </c>
      <c r="H118" s="1">
        <f t="shared" si="26"/>
        <v>170</v>
      </c>
      <c r="I118" t="s">
        <v>273</v>
      </c>
      <c r="J118" s="4">
        <v>1200000</v>
      </c>
      <c r="K118" s="1">
        <f t="shared" si="27"/>
        <v>81</v>
      </c>
      <c r="L118" s="3">
        <f t="shared" si="28"/>
        <v>1202.1052631578948</v>
      </c>
      <c r="M118" s="1">
        <f t="shared" si="29"/>
        <v>19</v>
      </c>
      <c r="N118" s="6">
        <f t="shared" si="30"/>
        <v>9.5526190097118296E-2</v>
      </c>
      <c r="O118" s="1">
        <f t="shared" si="31"/>
        <v>117</v>
      </c>
      <c r="P118" s="1" t="s">
        <v>607</v>
      </c>
      <c r="Q118">
        <v>1825</v>
      </c>
      <c r="R118">
        <v>2026</v>
      </c>
    </row>
    <row r="119" spans="1:19" x14ac:dyDescent="0.2">
      <c r="A119" s="2" t="s">
        <v>156</v>
      </c>
      <c r="B119" s="11">
        <v>172751</v>
      </c>
      <c r="C119" s="1">
        <f t="shared" si="24"/>
        <v>56</v>
      </c>
      <c r="D119" s="1">
        <v>10577000</v>
      </c>
      <c r="E119" s="1">
        <f t="shared" si="25"/>
        <v>91</v>
      </c>
      <c r="F119" s="12" t="s">
        <v>574</v>
      </c>
      <c r="G119">
        <v>1523</v>
      </c>
      <c r="H119" s="1">
        <f t="shared" si="26"/>
        <v>187</v>
      </c>
      <c r="I119" t="s">
        <v>369</v>
      </c>
      <c r="J119" s="4">
        <v>996264</v>
      </c>
      <c r="K119" s="1">
        <f t="shared" si="27"/>
        <v>96</v>
      </c>
      <c r="L119" s="3">
        <f t="shared" si="28"/>
        <v>61.226852521837792</v>
      </c>
      <c r="M119" s="1">
        <f t="shared" si="29"/>
        <v>165</v>
      </c>
      <c r="N119" s="6">
        <f t="shared" si="30"/>
        <v>9.4191547697834929E-2</v>
      </c>
      <c r="O119" s="1">
        <f t="shared" si="31"/>
        <v>118</v>
      </c>
      <c r="P119" s="1" t="s">
        <v>606</v>
      </c>
      <c r="Q119">
        <v>1523</v>
      </c>
      <c r="R119">
        <v>2026</v>
      </c>
    </row>
    <row r="120" spans="1:19" x14ac:dyDescent="0.2">
      <c r="A120" s="2" t="s">
        <v>178</v>
      </c>
      <c r="B120" s="11">
        <v>353841</v>
      </c>
      <c r="C120" s="1">
        <f t="shared" si="24"/>
        <v>32</v>
      </c>
      <c r="D120" s="1">
        <v>34464000</v>
      </c>
      <c r="E120" s="1">
        <f t="shared" si="25"/>
        <v>43</v>
      </c>
      <c r="F120" s="12" t="s">
        <v>575</v>
      </c>
      <c r="G120">
        <v>1830</v>
      </c>
      <c r="H120" s="1">
        <f t="shared" si="26"/>
        <v>167</v>
      </c>
      <c r="I120" t="s">
        <v>394</v>
      </c>
      <c r="J120" s="4">
        <v>3242000</v>
      </c>
      <c r="K120" s="1">
        <f t="shared" si="27"/>
        <v>33</v>
      </c>
      <c r="L120" s="3">
        <f t="shared" si="28"/>
        <v>97.39967951707122</v>
      </c>
      <c r="M120" s="1">
        <f t="shared" si="29"/>
        <v>146</v>
      </c>
      <c r="N120" s="6">
        <f t="shared" si="30"/>
        <v>9.4069173630454972E-2</v>
      </c>
      <c r="O120" s="1">
        <f t="shared" si="31"/>
        <v>119</v>
      </c>
      <c r="P120" s="1" t="s">
        <v>610</v>
      </c>
      <c r="Q120">
        <v>1830</v>
      </c>
      <c r="R120">
        <v>2026</v>
      </c>
    </row>
    <row r="121" spans="1:19" x14ac:dyDescent="0.2">
      <c r="A121" s="2" t="s">
        <v>122</v>
      </c>
      <c r="B121" s="11">
        <v>29037</v>
      </c>
      <c r="C121" s="1">
        <f t="shared" si="24"/>
        <v>115</v>
      </c>
      <c r="D121" s="1">
        <v>4379000</v>
      </c>
      <c r="E121" s="1">
        <f t="shared" si="25"/>
        <v>128</v>
      </c>
      <c r="F121" s="12" t="s">
        <v>496</v>
      </c>
      <c r="G121">
        <v>1903</v>
      </c>
      <c r="H121" s="1">
        <f t="shared" si="26"/>
        <v>148</v>
      </c>
      <c r="I121" t="s">
        <v>337</v>
      </c>
      <c r="J121" s="4">
        <v>410354</v>
      </c>
      <c r="K121" s="1">
        <f t="shared" si="27"/>
        <v>137</v>
      </c>
      <c r="L121" s="3">
        <f t="shared" si="28"/>
        <v>150.80759031580396</v>
      </c>
      <c r="M121" s="1">
        <f t="shared" si="29"/>
        <v>128</v>
      </c>
      <c r="N121" s="6">
        <f t="shared" si="30"/>
        <v>9.3709522722082661E-2</v>
      </c>
      <c r="O121" s="1">
        <f t="shared" si="31"/>
        <v>120</v>
      </c>
      <c r="P121" s="1" t="s">
        <v>607</v>
      </c>
      <c r="Q121">
        <v>1903</v>
      </c>
      <c r="R121">
        <v>2026</v>
      </c>
    </row>
    <row r="122" spans="1:19" x14ac:dyDescent="0.2">
      <c r="A122" s="2" t="s">
        <v>182</v>
      </c>
      <c r="B122" s="11">
        <v>150872</v>
      </c>
      <c r="C122" s="1">
        <f t="shared" si="24"/>
        <v>60</v>
      </c>
      <c r="D122" s="1">
        <v>15952000</v>
      </c>
      <c r="E122" s="1">
        <f t="shared" si="25"/>
        <v>74</v>
      </c>
      <c r="F122" s="12" t="s">
        <v>497</v>
      </c>
      <c r="G122">
        <v>1965</v>
      </c>
      <c r="H122" s="1">
        <f t="shared" si="26"/>
        <v>73</v>
      </c>
      <c r="I122" t="s">
        <v>398</v>
      </c>
      <c r="J122" s="4">
        <v>1491740</v>
      </c>
      <c r="K122" s="1">
        <f t="shared" si="27"/>
        <v>69</v>
      </c>
      <c r="L122" s="3">
        <f t="shared" si="28"/>
        <v>105.73201124131714</v>
      </c>
      <c r="M122" s="1">
        <f t="shared" si="29"/>
        <v>145</v>
      </c>
      <c r="N122" s="6">
        <f t="shared" si="30"/>
        <v>9.3514292878635913E-2</v>
      </c>
      <c r="O122" s="1">
        <f t="shared" si="31"/>
        <v>121</v>
      </c>
      <c r="P122" s="1" t="s">
        <v>608</v>
      </c>
      <c r="Q122">
        <v>1965</v>
      </c>
      <c r="R122">
        <v>2026</v>
      </c>
      <c r="S122" t="s">
        <v>399</v>
      </c>
    </row>
    <row r="123" spans="1:19" x14ac:dyDescent="0.2">
      <c r="A123" s="2" t="s">
        <v>44</v>
      </c>
      <c r="B123" s="11">
        <v>18619</v>
      </c>
      <c r="C123" s="1">
        <f t="shared" si="24"/>
        <v>128</v>
      </c>
      <c r="D123" s="1">
        <v>11074000</v>
      </c>
      <c r="E123" s="1">
        <f t="shared" si="25"/>
        <v>87</v>
      </c>
      <c r="F123" s="12" t="s">
        <v>576</v>
      </c>
      <c r="G123">
        <v>1844</v>
      </c>
      <c r="H123" s="1">
        <f t="shared" si="26"/>
        <v>161</v>
      </c>
      <c r="I123" t="s">
        <v>245</v>
      </c>
      <c r="J123" s="4">
        <v>1029110</v>
      </c>
      <c r="K123" s="1">
        <f t="shared" si="27"/>
        <v>92</v>
      </c>
      <c r="L123" s="3">
        <f t="shared" si="28"/>
        <v>594.76878457489659</v>
      </c>
      <c r="M123" s="1">
        <f t="shared" si="29"/>
        <v>46</v>
      </c>
      <c r="N123" s="6">
        <f t="shared" si="30"/>
        <v>9.2930287159111433E-2</v>
      </c>
      <c r="O123" s="1">
        <f t="shared" si="31"/>
        <v>122</v>
      </c>
      <c r="P123" s="1" t="s">
        <v>607</v>
      </c>
      <c r="Q123">
        <v>1844</v>
      </c>
      <c r="R123">
        <v>2026</v>
      </c>
    </row>
    <row r="124" spans="1:19" x14ac:dyDescent="0.2">
      <c r="A124" s="2" t="s">
        <v>2</v>
      </c>
      <c r="B124" s="11">
        <v>919595</v>
      </c>
      <c r="C124" s="1">
        <f t="shared" si="24"/>
        <v>10</v>
      </c>
      <c r="D124" s="1">
        <v>47803000</v>
      </c>
      <c r="E124" s="1">
        <f t="shared" si="25"/>
        <v>32</v>
      </c>
      <c r="F124" s="12" t="s">
        <v>498</v>
      </c>
      <c r="G124">
        <v>1962</v>
      </c>
      <c r="H124" s="1">
        <f t="shared" si="26"/>
        <v>84</v>
      </c>
      <c r="I124" t="s">
        <v>191</v>
      </c>
      <c r="J124" s="4">
        <v>4325000</v>
      </c>
      <c r="K124" s="1">
        <f t="shared" si="27"/>
        <v>25</v>
      </c>
      <c r="L124" s="3">
        <f t="shared" si="28"/>
        <v>51.982666282439553</v>
      </c>
      <c r="M124" s="1">
        <f t="shared" si="29"/>
        <v>168</v>
      </c>
      <c r="N124" s="6">
        <f t="shared" si="30"/>
        <v>9.0475493169884735E-2</v>
      </c>
      <c r="O124" s="1">
        <f t="shared" si="31"/>
        <v>123</v>
      </c>
      <c r="P124" s="1" t="s">
        <v>608</v>
      </c>
      <c r="Q124">
        <v>1962</v>
      </c>
      <c r="R124">
        <v>2026</v>
      </c>
    </row>
    <row r="125" spans="1:19" x14ac:dyDescent="0.2">
      <c r="A125" s="2" t="s">
        <v>132</v>
      </c>
      <c r="B125" s="11">
        <v>6592846</v>
      </c>
      <c r="C125" s="1">
        <f t="shared" si="24"/>
        <v>1</v>
      </c>
      <c r="D125" s="1">
        <v>145335000</v>
      </c>
      <c r="E125" s="1">
        <f t="shared" si="25"/>
        <v>9</v>
      </c>
      <c r="F125" s="12" t="s">
        <v>499</v>
      </c>
      <c r="G125">
        <v>1991</v>
      </c>
      <c r="H125" s="1">
        <f t="shared" si="26"/>
        <v>8</v>
      </c>
      <c r="I125" t="s">
        <v>347</v>
      </c>
      <c r="J125" s="4">
        <v>13010012</v>
      </c>
      <c r="K125" s="1">
        <f t="shared" si="27"/>
        <v>4</v>
      </c>
      <c r="L125" s="3">
        <f t="shared" si="28"/>
        <v>22.044349284057294</v>
      </c>
      <c r="M125" s="1">
        <f t="shared" si="29"/>
        <v>185</v>
      </c>
      <c r="N125" s="6">
        <f t="shared" si="30"/>
        <v>8.9517404616919524E-2</v>
      </c>
      <c r="O125" s="1">
        <f t="shared" si="31"/>
        <v>124</v>
      </c>
      <c r="P125" s="1" t="s">
        <v>606</v>
      </c>
      <c r="Q125">
        <v>1991</v>
      </c>
      <c r="R125">
        <v>2026</v>
      </c>
    </row>
    <row r="126" spans="1:19" x14ac:dyDescent="0.2">
      <c r="A126" s="2" t="s">
        <v>145</v>
      </c>
      <c r="B126" s="11">
        <v>18932</v>
      </c>
      <c r="C126" s="1">
        <f t="shared" si="24"/>
        <v>127</v>
      </c>
      <c r="D126" s="1">
        <v>5416000</v>
      </c>
      <c r="E126" s="1">
        <f t="shared" si="25"/>
        <v>121</v>
      </c>
      <c r="F126" s="12" t="s">
        <v>472</v>
      </c>
      <c r="G126">
        <v>1993</v>
      </c>
      <c r="H126" s="1">
        <f t="shared" si="26"/>
        <v>3</v>
      </c>
      <c r="I126" t="s">
        <v>358</v>
      </c>
      <c r="J126" s="4">
        <v>479389</v>
      </c>
      <c r="K126" s="1">
        <f t="shared" si="27"/>
        <v>131</v>
      </c>
      <c r="L126" s="3">
        <f t="shared" si="28"/>
        <v>286.0764842594549</v>
      </c>
      <c r="M126" s="1">
        <f t="shared" si="29"/>
        <v>79</v>
      </c>
      <c r="N126" s="6">
        <f t="shared" si="30"/>
        <v>8.8513478581979319E-2</v>
      </c>
      <c r="O126" s="1">
        <f t="shared" si="31"/>
        <v>125</v>
      </c>
      <c r="P126" s="1" t="s">
        <v>606</v>
      </c>
      <c r="Q126">
        <v>1993</v>
      </c>
      <c r="R126">
        <v>2026</v>
      </c>
    </row>
    <row r="127" spans="1:19" x14ac:dyDescent="0.2">
      <c r="A127" s="2" t="s">
        <v>179</v>
      </c>
      <c r="B127" s="11">
        <v>127930</v>
      </c>
      <c r="C127" s="1">
        <f t="shared" si="24"/>
        <v>68</v>
      </c>
      <c r="D127" s="1">
        <v>102028000</v>
      </c>
      <c r="E127" s="1">
        <f t="shared" si="25"/>
        <v>16</v>
      </c>
      <c r="F127" s="12" t="s">
        <v>500</v>
      </c>
      <c r="G127">
        <v>1976</v>
      </c>
      <c r="H127" s="1">
        <f t="shared" si="26"/>
        <v>44</v>
      </c>
      <c r="I127" t="s">
        <v>395</v>
      </c>
      <c r="J127" s="4">
        <v>8807523</v>
      </c>
      <c r="K127" s="1">
        <f t="shared" si="27"/>
        <v>13</v>
      </c>
      <c r="L127" s="3">
        <f t="shared" si="28"/>
        <v>797.52989916360514</v>
      </c>
      <c r="M127" s="1">
        <f t="shared" si="29"/>
        <v>29</v>
      </c>
      <c r="N127" s="6">
        <f t="shared" si="30"/>
        <v>8.6324567765711374E-2</v>
      </c>
      <c r="O127" s="1">
        <f t="shared" si="31"/>
        <v>126</v>
      </c>
      <c r="P127" s="1" t="s">
        <v>605</v>
      </c>
      <c r="Q127">
        <v>1976</v>
      </c>
      <c r="R127">
        <v>2026</v>
      </c>
    </row>
    <row r="128" spans="1:19" x14ac:dyDescent="0.2">
      <c r="A128" s="2" t="s">
        <v>175</v>
      </c>
      <c r="B128" s="11">
        <v>173348</v>
      </c>
      <c r="C128" s="1">
        <f t="shared" si="24"/>
        <v>55</v>
      </c>
      <c r="D128" s="1">
        <v>38192000</v>
      </c>
      <c r="E128" s="1">
        <f t="shared" si="25"/>
        <v>38</v>
      </c>
      <c r="F128" s="12" t="s">
        <v>501</v>
      </c>
      <c r="G128">
        <v>1991</v>
      </c>
      <c r="H128" s="1">
        <f t="shared" si="26"/>
        <v>8</v>
      </c>
      <c r="I128" t="s">
        <v>392</v>
      </c>
      <c r="J128" s="4">
        <v>3164030</v>
      </c>
      <c r="K128" s="1">
        <f t="shared" si="27"/>
        <v>34</v>
      </c>
      <c r="L128" s="3">
        <f t="shared" si="28"/>
        <v>220.31981909223066</v>
      </c>
      <c r="M128" s="1">
        <f t="shared" si="29"/>
        <v>103</v>
      </c>
      <c r="N128" s="6">
        <f t="shared" si="30"/>
        <v>8.2845360284876407E-2</v>
      </c>
      <c r="O128" s="1">
        <f t="shared" si="31"/>
        <v>127</v>
      </c>
      <c r="P128" s="1" t="s">
        <v>605</v>
      </c>
      <c r="Q128">
        <v>1991</v>
      </c>
      <c r="R128">
        <v>2026</v>
      </c>
    </row>
    <row r="129" spans="1:19" x14ac:dyDescent="0.2">
      <c r="A129" s="2" t="s">
        <v>48</v>
      </c>
      <c r="B129" s="11">
        <v>8124</v>
      </c>
      <c r="C129" s="1">
        <f t="shared" si="24"/>
        <v>150</v>
      </c>
      <c r="D129" s="1">
        <v>6366000</v>
      </c>
      <c r="E129" s="1">
        <f t="shared" si="25"/>
        <v>113</v>
      </c>
      <c r="F129" s="12" t="s">
        <v>577</v>
      </c>
      <c r="G129">
        <v>1841</v>
      </c>
      <c r="H129" s="1">
        <f t="shared" si="26"/>
        <v>162</v>
      </c>
      <c r="I129" t="s">
        <v>249</v>
      </c>
      <c r="J129" s="4">
        <v>525990</v>
      </c>
      <c r="K129" s="1">
        <f t="shared" si="27"/>
        <v>126</v>
      </c>
      <c r="L129" s="3">
        <f t="shared" si="28"/>
        <v>783.6041358936485</v>
      </c>
      <c r="M129" s="1">
        <f t="shared" si="29"/>
        <v>30</v>
      </c>
      <c r="N129" s="6">
        <f t="shared" si="30"/>
        <v>8.26248821866164E-2</v>
      </c>
      <c r="O129" s="1">
        <f t="shared" si="31"/>
        <v>128</v>
      </c>
      <c r="P129" s="1" t="s">
        <v>610</v>
      </c>
      <c r="Q129">
        <v>1841</v>
      </c>
      <c r="R129">
        <v>2026</v>
      </c>
    </row>
    <row r="130" spans="1:19" x14ac:dyDescent="0.2">
      <c r="A130" s="2" t="s">
        <v>20</v>
      </c>
      <c r="B130" s="11">
        <v>19772</v>
      </c>
      <c r="C130" s="1">
        <f t="shared" ref="C130:C161" si="32">RANK(B130,B$2:B$197)</f>
        <v>125</v>
      </c>
      <c r="D130" s="1">
        <v>3373000</v>
      </c>
      <c r="E130" s="1">
        <f t="shared" ref="E130:E161" si="33">RANK(D130,D$2:D$197)</f>
        <v>133</v>
      </c>
      <c r="F130" s="12" t="s">
        <v>502</v>
      </c>
      <c r="G130">
        <v>1992</v>
      </c>
      <c r="H130" s="1">
        <f t="shared" ref="H130:H161" si="34">RANK(G130,G$2:G$197)</f>
        <v>5</v>
      </c>
      <c r="I130" t="s">
        <v>214</v>
      </c>
      <c r="J130" s="4">
        <v>275524</v>
      </c>
      <c r="K130" s="1">
        <f t="shared" ref="K130:K161" si="35">RANK(J130,J$2:J$197)</f>
        <v>144</v>
      </c>
      <c r="L130" s="3">
        <f t="shared" ref="L130:L161" si="36">D130/B130</f>
        <v>170.59478049767347</v>
      </c>
      <c r="M130" s="1">
        <f t="shared" ref="M130:M161" si="37">RANK(L130,L$2:L$197)</f>
        <v>122</v>
      </c>
      <c r="N130" s="6">
        <f t="shared" ref="N130:N161" si="38">J130/D130</f>
        <v>8.1685146753631782E-2</v>
      </c>
      <c r="O130" s="1">
        <f t="shared" ref="O130:O161" si="39">RANK(N130,N$2:N$197)</f>
        <v>129</v>
      </c>
      <c r="P130" s="1" t="s">
        <v>606</v>
      </c>
      <c r="Q130">
        <v>1992</v>
      </c>
      <c r="R130">
        <v>2026</v>
      </c>
    </row>
    <row r="131" spans="1:19" x14ac:dyDescent="0.2">
      <c r="A131" s="2" t="s">
        <v>78</v>
      </c>
      <c r="B131" s="11">
        <v>1052084</v>
      </c>
      <c r="C131" s="1">
        <f t="shared" si="32"/>
        <v>8</v>
      </c>
      <c r="D131" s="1">
        <v>20462000</v>
      </c>
      <c r="E131" s="1">
        <f t="shared" si="33"/>
        <v>65</v>
      </c>
      <c r="F131" s="12" t="s">
        <v>503</v>
      </c>
      <c r="G131">
        <v>1991</v>
      </c>
      <c r="H131" s="1">
        <f t="shared" si="34"/>
        <v>8</v>
      </c>
      <c r="I131" t="s">
        <v>292</v>
      </c>
      <c r="J131" s="4">
        <v>1622245</v>
      </c>
      <c r="K131" s="1">
        <f t="shared" si="35"/>
        <v>67</v>
      </c>
      <c r="L131" s="3">
        <f t="shared" si="36"/>
        <v>19.449017378840473</v>
      </c>
      <c r="M131" s="1">
        <f t="shared" si="37"/>
        <v>186</v>
      </c>
      <c r="N131" s="6">
        <f t="shared" si="38"/>
        <v>7.9280862085817611E-2</v>
      </c>
      <c r="O131" s="1">
        <f t="shared" si="39"/>
        <v>130</v>
      </c>
      <c r="P131" s="1" t="s">
        <v>605</v>
      </c>
      <c r="Q131">
        <v>1991</v>
      </c>
      <c r="R131">
        <v>2026</v>
      </c>
    </row>
    <row r="132" spans="1:19" x14ac:dyDescent="0.2">
      <c r="A132" s="2" t="s">
        <v>52</v>
      </c>
      <c r="B132" s="11">
        <v>6704</v>
      </c>
      <c r="C132" s="1">
        <f t="shared" si="32"/>
        <v>154</v>
      </c>
      <c r="D132" s="1">
        <v>1217000</v>
      </c>
      <c r="E132" s="1">
        <f t="shared" si="33"/>
        <v>157</v>
      </c>
      <c r="F132" s="12" t="s">
        <v>504</v>
      </c>
      <c r="G132">
        <v>1968</v>
      </c>
      <c r="H132" s="1">
        <f t="shared" si="34"/>
        <v>64</v>
      </c>
      <c r="I132" t="s">
        <v>253</v>
      </c>
      <c r="J132" s="4">
        <v>94874</v>
      </c>
      <c r="K132" s="1">
        <f t="shared" si="35"/>
        <v>166</v>
      </c>
      <c r="L132" s="3">
        <f t="shared" si="36"/>
        <v>181.53341288782815</v>
      </c>
      <c r="M132" s="1">
        <f t="shared" si="37"/>
        <v>118</v>
      </c>
      <c r="N132" s="6">
        <f t="shared" si="38"/>
        <v>7.795727198027938E-2</v>
      </c>
      <c r="O132" s="1">
        <f t="shared" si="39"/>
        <v>131</v>
      </c>
      <c r="P132" s="1" t="s">
        <v>608</v>
      </c>
      <c r="Q132">
        <v>1968</v>
      </c>
      <c r="R132">
        <v>2026</v>
      </c>
      <c r="S132" t="s">
        <v>267</v>
      </c>
    </row>
    <row r="133" spans="1:19" x14ac:dyDescent="0.2">
      <c r="A133" s="2" t="s">
        <v>86</v>
      </c>
      <c r="B133" s="11">
        <v>4036</v>
      </c>
      <c r="C133" s="1">
        <f t="shared" si="32"/>
        <v>163</v>
      </c>
      <c r="D133" s="1">
        <v>5688000</v>
      </c>
      <c r="E133" s="1">
        <f t="shared" si="33"/>
        <v>117</v>
      </c>
      <c r="F133" s="12" t="s">
        <v>505</v>
      </c>
      <c r="G133">
        <v>1943</v>
      </c>
      <c r="H133" s="1">
        <f t="shared" si="34"/>
        <v>131</v>
      </c>
      <c r="I133" t="s">
        <v>301</v>
      </c>
      <c r="J133" s="4">
        <v>433249</v>
      </c>
      <c r="K133" s="1">
        <f t="shared" si="35"/>
        <v>135</v>
      </c>
      <c r="L133" s="3">
        <f t="shared" si="36"/>
        <v>1409.3161546085232</v>
      </c>
      <c r="M133" s="1">
        <f t="shared" si="37"/>
        <v>13</v>
      </c>
      <c r="N133" s="6">
        <f t="shared" si="38"/>
        <v>7.6168952180028129E-2</v>
      </c>
      <c r="O133" s="1">
        <f t="shared" si="39"/>
        <v>132</v>
      </c>
      <c r="P133" s="1" t="s">
        <v>605</v>
      </c>
      <c r="Q133">
        <v>1943</v>
      </c>
      <c r="R133">
        <v>2026</v>
      </c>
    </row>
    <row r="134" spans="1:19" x14ac:dyDescent="0.2">
      <c r="A134" s="2" t="s">
        <v>180</v>
      </c>
      <c r="B134" s="11">
        <v>175676</v>
      </c>
      <c r="C134" s="1">
        <f t="shared" si="32"/>
        <v>54</v>
      </c>
      <c r="D134" s="1">
        <v>34355000</v>
      </c>
      <c r="E134" s="1">
        <f t="shared" si="33"/>
        <v>45</v>
      </c>
      <c r="F134" s="12" t="s">
        <v>506</v>
      </c>
      <c r="G134">
        <v>1990</v>
      </c>
      <c r="H134" s="1">
        <f t="shared" si="34"/>
        <v>25</v>
      </c>
      <c r="I134" t="s">
        <v>396</v>
      </c>
      <c r="J134" s="4">
        <v>2545000</v>
      </c>
      <c r="K134" s="1">
        <f t="shared" si="35"/>
        <v>41</v>
      </c>
      <c r="L134" s="3">
        <f t="shared" si="36"/>
        <v>195.55886973747124</v>
      </c>
      <c r="M134" s="1">
        <f t="shared" si="37"/>
        <v>108</v>
      </c>
      <c r="N134" s="6">
        <f t="shared" si="38"/>
        <v>7.4079464415660018E-2</v>
      </c>
      <c r="O134" s="1">
        <f t="shared" si="39"/>
        <v>133</v>
      </c>
      <c r="P134" s="1" t="s">
        <v>605</v>
      </c>
      <c r="Q134">
        <v>1990</v>
      </c>
      <c r="R134">
        <v>2026</v>
      </c>
    </row>
    <row r="135" spans="1:19" x14ac:dyDescent="0.2">
      <c r="A135" s="2" t="s">
        <v>124</v>
      </c>
      <c r="B135" s="11">
        <v>157048</v>
      </c>
      <c r="C135" s="1">
        <f t="shared" si="32"/>
        <v>59</v>
      </c>
      <c r="D135" s="1">
        <v>6247000</v>
      </c>
      <c r="E135" s="1">
        <f t="shared" si="33"/>
        <v>114</v>
      </c>
      <c r="F135" s="12" t="s">
        <v>578</v>
      </c>
      <c r="G135">
        <v>1811</v>
      </c>
      <c r="H135" s="1">
        <f t="shared" si="34"/>
        <v>180</v>
      </c>
      <c r="I135" t="s">
        <v>339</v>
      </c>
      <c r="J135" s="4">
        <v>462241</v>
      </c>
      <c r="K135" s="1">
        <f t="shared" si="35"/>
        <v>133</v>
      </c>
      <c r="L135" s="3">
        <f t="shared" si="36"/>
        <v>39.77764759818654</v>
      </c>
      <c r="M135" s="1">
        <f t="shared" si="37"/>
        <v>178</v>
      </c>
      <c r="N135" s="6">
        <f t="shared" si="38"/>
        <v>7.3994077157035376E-2</v>
      </c>
      <c r="O135" s="1">
        <f t="shared" si="39"/>
        <v>134</v>
      </c>
      <c r="P135" s="1" t="s">
        <v>610</v>
      </c>
      <c r="Q135">
        <v>1811</v>
      </c>
      <c r="R135">
        <v>2026</v>
      </c>
    </row>
    <row r="136" spans="1:19" x14ac:dyDescent="0.2">
      <c r="A136" s="2" t="s">
        <v>61</v>
      </c>
      <c r="B136" s="11">
        <v>42042</v>
      </c>
      <c r="C136" s="1">
        <f t="shared" si="32"/>
        <v>104</v>
      </c>
      <c r="D136" s="1">
        <v>16865000</v>
      </c>
      <c r="E136" s="1">
        <f t="shared" si="33"/>
        <v>73</v>
      </c>
      <c r="F136" s="12" t="s">
        <v>579</v>
      </c>
      <c r="G136">
        <v>1839</v>
      </c>
      <c r="H136" s="1">
        <f t="shared" si="34"/>
        <v>163</v>
      </c>
      <c r="I136" t="s">
        <v>265</v>
      </c>
      <c r="J136" s="4">
        <v>1221739</v>
      </c>
      <c r="K136" s="1">
        <f t="shared" si="35"/>
        <v>80</v>
      </c>
      <c r="L136" s="3">
        <f t="shared" si="36"/>
        <v>401.14647257504402</v>
      </c>
      <c r="M136" s="1">
        <f t="shared" si="37"/>
        <v>58</v>
      </c>
      <c r="N136" s="6">
        <f t="shared" si="38"/>
        <v>7.2442276904832487E-2</v>
      </c>
      <c r="O136" s="1">
        <f t="shared" si="39"/>
        <v>135</v>
      </c>
      <c r="P136" s="1" t="s">
        <v>607</v>
      </c>
      <c r="Q136">
        <v>1839</v>
      </c>
      <c r="R136">
        <v>2026</v>
      </c>
    </row>
    <row r="137" spans="1:19" x14ac:dyDescent="0.2">
      <c r="A137" s="2" t="s">
        <v>152</v>
      </c>
      <c r="B137" s="11">
        <v>195361</v>
      </c>
      <c r="C137" s="1">
        <f t="shared" si="32"/>
        <v>50</v>
      </c>
      <c r="D137" s="1">
        <v>49270000</v>
      </c>
      <c r="E137" s="1">
        <f t="shared" si="33"/>
        <v>30</v>
      </c>
      <c r="F137" s="12" t="s">
        <v>580</v>
      </c>
      <c r="G137">
        <v>1516</v>
      </c>
      <c r="H137" s="1">
        <f t="shared" si="34"/>
        <v>188</v>
      </c>
      <c r="I137" t="s">
        <v>365</v>
      </c>
      <c r="J137" s="4">
        <v>3477497</v>
      </c>
      <c r="K137" s="1">
        <f t="shared" si="35"/>
        <v>30</v>
      </c>
      <c r="L137" s="3">
        <f t="shared" si="36"/>
        <v>252.19977375218187</v>
      </c>
      <c r="M137" s="1">
        <f t="shared" si="37"/>
        <v>92</v>
      </c>
      <c r="N137" s="6">
        <f t="shared" si="38"/>
        <v>7.058041404505784E-2</v>
      </c>
      <c r="O137" s="1">
        <f t="shared" si="39"/>
        <v>136</v>
      </c>
      <c r="P137" s="1" t="s">
        <v>606</v>
      </c>
      <c r="Q137">
        <v>1516</v>
      </c>
      <c r="R137">
        <v>2026</v>
      </c>
    </row>
    <row r="138" spans="1:19" x14ac:dyDescent="0.2">
      <c r="A138" s="2" t="s">
        <v>171</v>
      </c>
      <c r="B138" s="11">
        <v>233032</v>
      </c>
      <c r="C138" s="1">
        <f t="shared" si="32"/>
        <v>44</v>
      </c>
      <c r="D138" s="1">
        <v>42721000</v>
      </c>
      <c r="E138" s="1">
        <f t="shared" si="33"/>
        <v>36</v>
      </c>
      <c r="F138" s="12" t="s">
        <v>507</v>
      </c>
      <c r="G138">
        <v>1991</v>
      </c>
      <c r="H138" s="1">
        <f t="shared" si="34"/>
        <v>8</v>
      </c>
      <c r="I138" t="s">
        <v>386</v>
      </c>
      <c r="J138" s="4">
        <v>2952301</v>
      </c>
      <c r="K138" s="1">
        <f t="shared" si="35"/>
        <v>38</v>
      </c>
      <c r="L138" s="3">
        <f t="shared" si="36"/>
        <v>183.32675340725737</v>
      </c>
      <c r="M138" s="1">
        <f t="shared" si="37"/>
        <v>116</v>
      </c>
      <c r="N138" s="6">
        <f t="shared" si="38"/>
        <v>6.9106551812925729E-2</v>
      </c>
      <c r="O138" s="1">
        <f t="shared" si="39"/>
        <v>137</v>
      </c>
      <c r="P138" s="1" t="s">
        <v>606</v>
      </c>
      <c r="Q138">
        <v>1991</v>
      </c>
      <c r="R138">
        <v>2026</v>
      </c>
    </row>
    <row r="139" spans="1:19" x14ac:dyDescent="0.2">
      <c r="A139" s="2" t="s">
        <v>59</v>
      </c>
      <c r="B139" s="11">
        <v>50984</v>
      </c>
      <c r="C139" s="1">
        <f t="shared" si="32"/>
        <v>95</v>
      </c>
      <c r="D139" s="1">
        <v>9361000</v>
      </c>
      <c r="E139" s="1">
        <f t="shared" si="33"/>
        <v>96</v>
      </c>
      <c r="F139" s="12" t="s">
        <v>581</v>
      </c>
      <c r="G139">
        <v>1822</v>
      </c>
      <c r="H139" s="1">
        <f t="shared" si="34"/>
        <v>174</v>
      </c>
      <c r="I139" t="s">
        <v>263</v>
      </c>
      <c r="J139" s="4">
        <v>643452</v>
      </c>
      <c r="K139" s="1">
        <f t="shared" si="35"/>
        <v>119</v>
      </c>
      <c r="L139" s="3">
        <f t="shared" si="36"/>
        <v>183.60662168523459</v>
      </c>
      <c r="M139" s="1">
        <f t="shared" si="37"/>
        <v>115</v>
      </c>
      <c r="N139" s="6">
        <f t="shared" si="38"/>
        <v>6.873752804187587E-2</v>
      </c>
      <c r="O139" s="1">
        <f t="shared" si="39"/>
        <v>138</v>
      </c>
      <c r="P139" s="1" t="s">
        <v>606</v>
      </c>
      <c r="Q139">
        <v>1822</v>
      </c>
      <c r="R139">
        <v>2026</v>
      </c>
    </row>
    <row r="140" spans="1:19" x14ac:dyDescent="0.2">
      <c r="A140" s="2" t="s">
        <v>102</v>
      </c>
      <c r="B140" s="11">
        <v>758449</v>
      </c>
      <c r="C140" s="1">
        <f t="shared" si="32"/>
        <v>13</v>
      </c>
      <c r="D140" s="1">
        <v>134092000</v>
      </c>
      <c r="E140" s="1">
        <f t="shared" si="33"/>
        <v>10</v>
      </c>
      <c r="F140" s="12" t="s">
        <v>582</v>
      </c>
      <c r="G140">
        <v>1821</v>
      </c>
      <c r="H140" s="1">
        <f t="shared" si="34"/>
        <v>176</v>
      </c>
      <c r="I140" t="s">
        <v>316</v>
      </c>
      <c r="J140" s="4">
        <v>9209944</v>
      </c>
      <c r="K140" s="1">
        <f t="shared" si="35"/>
        <v>10</v>
      </c>
      <c r="L140" s="3">
        <f t="shared" si="36"/>
        <v>176.79764888608199</v>
      </c>
      <c r="M140" s="1">
        <f t="shared" si="37"/>
        <v>120</v>
      </c>
      <c r="N140" s="6">
        <f t="shared" si="38"/>
        <v>6.8683769352384932E-2</v>
      </c>
      <c r="O140" s="1">
        <f t="shared" si="39"/>
        <v>139</v>
      </c>
      <c r="P140" s="1" t="s">
        <v>607</v>
      </c>
      <c r="Q140">
        <v>1821</v>
      </c>
      <c r="R140">
        <v>2026</v>
      </c>
    </row>
    <row r="141" spans="1:19" x14ac:dyDescent="0.2">
      <c r="A141" s="2" t="s">
        <v>167</v>
      </c>
      <c r="B141" s="11">
        <v>297146</v>
      </c>
      <c r="C141" s="1">
        <f t="shared" si="32"/>
        <v>36</v>
      </c>
      <c r="D141" s="1">
        <v>86797000</v>
      </c>
      <c r="E141" s="1">
        <f t="shared" si="33"/>
        <v>17</v>
      </c>
      <c r="F141" s="12" t="s">
        <v>508</v>
      </c>
      <c r="G141">
        <v>1923</v>
      </c>
      <c r="H141" s="1">
        <f t="shared" si="34"/>
        <v>139</v>
      </c>
      <c r="I141" t="s">
        <v>382</v>
      </c>
      <c r="J141" s="4">
        <v>5910320</v>
      </c>
      <c r="K141" s="1">
        <f t="shared" si="35"/>
        <v>22</v>
      </c>
      <c r="L141" s="3">
        <f t="shared" si="36"/>
        <v>292.1021989190499</v>
      </c>
      <c r="M141" s="1">
        <f t="shared" si="37"/>
        <v>78</v>
      </c>
      <c r="N141" s="6">
        <f t="shared" si="38"/>
        <v>6.8093597704989808E-2</v>
      </c>
      <c r="O141" s="1">
        <f t="shared" si="39"/>
        <v>140</v>
      </c>
      <c r="P141" s="1" t="s">
        <v>605</v>
      </c>
      <c r="Q141">
        <v>1923</v>
      </c>
      <c r="R141">
        <v>2026</v>
      </c>
    </row>
    <row r="142" spans="1:19" x14ac:dyDescent="0.2">
      <c r="A142" s="2" t="s">
        <v>36</v>
      </c>
      <c r="B142" s="11">
        <v>19730</v>
      </c>
      <c r="C142" s="1">
        <f t="shared" si="32"/>
        <v>126</v>
      </c>
      <c r="D142" s="1">
        <v>5266000</v>
      </c>
      <c r="E142" s="1">
        <f t="shared" si="33"/>
        <v>124</v>
      </c>
      <c r="F142" s="12" t="s">
        <v>583</v>
      </c>
      <c r="G142">
        <v>1838</v>
      </c>
      <c r="H142" s="1">
        <f t="shared" si="34"/>
        <v>164</v>
      </c>
      <c r="I142" t="s">
        <v>233</v>
      </c>
      <c r="J142" s="4">
        <v>352381</v>
      </c>
      <c r="K142" s="1">
        <f t="shared" si="35"/>
        <v>138</v>
      </c>
      <c r="L142" s="3">
        <f t="shared" si="36"/>
        <v>266.90319310694372</v>
      </c>
      <c r="M142" s="1">
        <f t="shared" si="37"/>
        <v>85</v>
      </c>
      <c r="N142" s="6">
        <f t="shared" si="38"/>
        <v>6.6916255222180018E-2</v>
      </c>
      <c r="O142" s="1">
        <f t="shared" si="39"/>
        <v>141</v>
      </c>
      <c r="P142" s="1" t="s">
        <v>610</v>
      </c>
      <c r="Q142">
        <v>1838</v>
      </c>
      <c r="R142">
        <v>2026</v>
      </c>
    </row>
    <row r="143" spans="1:19" x14ac:dyDescent="0.2">
      <c r="A143" s="2" t="s">
        <v>16</v>
      </c>
      <c r="B143" s="11">
        <v>8867</v>
      </c>
      <c r="C143" s="1">
        <f t="shared" si="32"/>
        <v>148</v>
      </c>
      <c r="D143" s="1">
        <v>417300</v>
      </c>
      <c r="E143" s="1">
        <f t="shared" si="33"/>
        <v>171</v>
      </c>
      <c r="F143" s="12" t="s">
        <v>509</v>
      </c>
      <c r="G143">
        <v>1981</v>
      </c>
      <c r="H143" s="1">
        <f t="shared" si="34"/>
        <v>31</v>
      </c>
      <c r="I143" t="s">
        <v>209</v>
      </c>
      <c r="J143" s="4">
        <v>27870</v>
      </c>
      <c r="K143" s="1">
        <f t="shared" si="35"/>
        <v>178</v>
      </c>
      <c r="L143" s="3">
        <f t="shared" si="36"/>
        <v>47.062140521033044</v>
      </c>
      <c r="M143" s="1">
        <f t="shared" si="37"/>
        <v>173</v>
      </c>
      <c r="N143" s="6">
        <f t="shared" si="38"/>
        <v>6.6786484543493896E-2</v>
      </c>
      <c r="O143" s="1">
        <f t="shared" si="39"/>
        <v>142</v>
      </c>
      <c r="P143" s="1" t="s">
        <v>607</v>
      </c>
      <c r="Q143">
        <v>1981</v>
      </c>
      <c r="R143">
        <v>2026</v>
      </c>
    </row>
    <row r="144" spans="1:19" x14ac:dyDescent="0.2">
      <c r="A144" s="2" t="s">
        <v>141</v>
      </c>
      <c r="B144" s="11">
        <v>75973</v>
      </c>
      <c r="C144" s="1">
        <f t="shared" si="32"/>
        <v>86</v>
      </c>
      <c r="D144" s="1">
        <v>19179000</v>
      </c>
      <c r="E144" s="1">
        <f t="shared" si="33"/>
        <v>68</v>
      </c>
      <c r="F144" s="12" t="s">
        <v>510</v>
      </c>
      <c r="G144">
        <v>1960</v>
      </c>
      <c r="H144" s="1">
        <f t="shared" si="34"/>
        <v>92</v>
      </c>
      <c r="I144" t="s">
        <v>355</v>
      </c>
      <c r="J144" s="4">
        <v>1278469</v>
      </c>
      <c r="K144" s="1">
        <f t="shared" si="35"/>
        <v>77</v>
      </c>
      <c r="L144" s="3">
        <f t="shared" si="36"/>
        <v>252.4449475471549</v>
      </c>
      <c r="M144" s="1">
        <f t="shared" si="37"/>
        <v>91</v>
      </c>
      <c r="N144" s="6">
        <f t="shared" si="38"/>
        <v>6.6659836279263779E-2</v>
      </c>
      <c r="O144" s="1">
        <f t="shared" si="39"/>
        <v>143</v>
      </c>
      <c r="P144" s="1" t="s">
        <v>608</v>
      </c>
      <c r="Q144">
        <v>1960</v>
      </c>
      <c r="R144">
        <v>2026</v>
      </c>
    </row>
    <row r="145" spans="1:18" x14ac:dyDescent="0.2">
      <c r="A145" s="2" t="s">
        <v>268</v>
      </c>
      <c r="B145" s="11">
        <v>271</v>
      </c>
      <c r="C145" s="1">
        <f t="shared" si="32"/>
        <v>177</v>
      </c>
      <c r="D145" s="1">
        <v>105500</v>
      </c>
      <c r="E145" s="1">
        <f t="shared" si="33"/>
        <v>183</v>
      </c>
      <c r="F145" s="12" t="s">
        <v>511</v>
      </c>
      <c r="G145">
        <v>1979</v>
      </c>
      <c r="H145" s="1">
        <f t="shared" si="34"/>
        <v>35</v>
      </c>
      <c r="I145" t="s">
        <v>283</v>
      </c>
      <c r="J145" s="4">
        <v>6964</v>
      </c>
      <c r="K145" s="1">
        <f t="shared" si="35"/>
        <v>187</v>
      </c>
      <c r="L145" s="3">
        <f t="shared" si="36"/>
        <v>389.29889298892988</v>
      </c>
      <c r="M145" s="1">
        <f t="shared" si="37"/>
        <v>62</v>
      </c>
      <c r="N145" s="6">
        <f t="shared" si="38"/>
        <v>6.6009478672985789E-2</v>
      </c>
      <c r="O145" s="1">
        <f t="shared" si="39"/>
        <v>144</v>
      </c>
      <c r="P145" s="1" t="s">
        <v>609</v>
      </c>
      <c r="Q145">
        <v>1979</v>
      </c>
      <c r="R145">
        <v>2026</v>
      </c>
    </row>
    <row r="146" spans="1:18" x14ac:dyDescent="0.2">
      <c r="A146" s="2" t="s">
        <v>6</v>
      </c>
      <c r="B146" s="11">
        <v>1044325</v>
      </c>
      <c r="C146" s="1">
        <f t="shared" si="32"/>
        <v>9</v>
      </c>
      <c r="D146" s="1">
        <v>47489000</v>
      </c>
      <c r="E146" s="1">
        <f t="shared" si="33"/>
        <v>33</v>
      </c>
      <c r="F146" s="12" t="s">
        <v>584</v>
      </c>
      <c r="G146">
        <v>1816</v>
      </c>
      <c r="H146" s="1">
        <f t="shared" si="34"/>
        <v>178</v>
      </c>
      <c r="I146" t="s">
        <v>197</v>
      </c>
      <c r="J146" s="4">
        <v>3121707</v>
      </c>
      <c r="K146" s="1">
        <f t="shared" si="35"/>
        <v>36</v>
      </c>
      <c r="L146" s="3">
        <f t="shared" si="36"/>
        <v>45.473391903861348</v>
      </c>
      <c r="M146" s="1">
        <f t="shared" si="37"/>
        <v>174</v>
      </c>
      <c r="N146" s="6">
        <f t="shared" si="38"/>
        <v>6.5735370296279141E-2</v>
      </c>
      <c r="O146" s="1">
        <f t="shared" si="39"/>
        <v>145</v>
      </c>
      <c r="P146" s="1" t="s">
        <v>610</v>
      </c>
      <c r="Q146">
        <v>1816</v>
      </c>
      <c r="R146">
        <v>2026</v>
      </c>
    </row>
    <row r="147" spans="1:18" x14ac:dyDescent="0.2">
      <c r="A147" s="2" t="s">
        <v>110</v>
      </c>
      <c r="B147" s="11">
        <v>8.1</v>
      </c>
      <c r="C147" s="1">
        <f t="shared" si="32"/>
        <v>194</v>
      </c>
      <c r="D147" s="1">
        <v>12300</v>
      </c>
      <c r="E147" s="1">
        <f t="shared" si="33"/>
        <v>194</v>
      </c>
      <c r="F147" s="12" t="s">
        <v>512</v>
      </c>
      <c r="G147">
        <v>1968</v>
      </c>
      <c r="H147" s="1">
        <f t="shared" si="34"/>
        <v>64</v>
      </c>
      <c r="I147" t="s">
        <v>281</v>
      </c>
      <c r="J147" s="4">
        <v>803</v>
      </c>
      <c r="K147" s="1">
        <f t="shared" si="35"/>
        <v>195</v>
      </c>
      <c r="L147" s="3">
        <f t="shared" si="36"/>
        <v>1518.5185185185185</v>
      </c>
      <c r="M147" s="1">
        <f t="shared" si="37"/>
        <v>11</v>
      </c>
      <c r="N147" s="6">
        <f t="shared" si="38"/>
        <v>6.5284552845528449E-2</v>
      </c>
      <c r="O147" s="1">
        <f t="shared" si="39"/>
        <v>146</v>
      </c>
      <c r="P147" s="1" t="s">
        <v>609</v>
      </c>
      <c r="Q147">
        <v>1968</v>
      </c>
      <c r="R147">
        <v>2026</v>
      </c>
    </row>
    <row r="148" spans="1:18" x14ac:dyDescent="0.2">
      <c r="A148" s="2" t="s">
        <v>95</v>
      </c>
      <c r="B148" s="11">
        <v>127752</v>
      </c>
      <c r="C148" s="1">
        <f t="shared" si="32"/>
        <v>69</v>
      </c>
      <c r="D148" s="1">
        <v>33357000</v>
      </c>
      <c r="E148" s="1">
        <f t="shared" si="33"/>
        <v>49</v>
      </c>
      <c r="F148" s="12" t="s">
        <v>513</v>
      </c>
      <c r="G148">
        <v>1963</v>
      </c>
      <c r="H148" s="1">
        <f t="shared" si="34"/>
        <v>81</v>
      </c>
      <c r="I148" t="s">
        <v>309</v>
      </c>
      <c r="J148" s="4">
        <v>2075600</v>
      </c>
      <c r="K148" s="1">
        <f t="shared" si="35"/>
        <v>50</v>
      </c>
      <c r="L148" s="3">
        <f t="shared" si="36"/>
        <v>261.10745820026301</v>
      </c>
      <c r="M148" s="1">
        <f t="shared" si="37"/>
        <v>87</v>
      </c>
      <c r="N148" s="6">
        <f t="shared" si="38"/>
        <v>6.222382108702821E-2</v>
      </c>
      <c r="O148" s="1">
        <f t="shared" si="39"/>
        <v>147</v>
      </c>
      <c r="P148" s="1" t="s">
        <v>605</v>
      </c>
      <c r="Q148">
        <v>1963</v>
      </c>
      <c r="R148">
        <v>2026</v>
      </c>
    </row>
    <row r="149" spans="1:18" x14ac:dyDescent="0.2">
      <c r="A149" s="2" t="s">
        <v>19</v>
      </c>
      <c r="B149" s="11">
        <v>424164</v>
      </c>
      <c r="C149" s="1">
        <f t="shared" si="32"/>
        <v>27</v>
      </c>
      <c r="D149" s="1">
        <v>12512000</v>
      </c>
      <c r="E149" s="1">
        <f t="shared" si="33"/>
        <v>82</v>
      </c>
      <c r="F149" s="12" t="s">
        <v>585</v>
      </c>
      <c r="G149">
        <v>1825</v>
      </c>
      <c r="H149" s="1">
        <f t="shared" si="34"/>
        <v>170</v>
      </c>
      <c r="I149" t="s">
        <v>213</v>
      </c>
      <c r="J149" s="4">
        <v>755732</v>
      </c>
      <c r="K149" s="1">
        <f t="shared" si="35"/>
        <v>108</v>
      </c>
      <c r="L149" s="3">
        <f t="shared" si="36"/>
        <v>29.49802434907253</v>
      </c>
      <c r="M149" s="1">
        <f t="shared" si="37"/>
        <v>182</v>
      </c>
      <c r="N149" s="6">
        <f t="shared" si="38"/>
        <v>6.0400575447570333E-2</v>
      </c>
      <c r="O149" s="1">
        <f t="shared" si="39"/>
        <v>148</v>
      </c>
      <c r="P149" s="1" t="s">
        <v>610</v>
      </c>
      <c r="Q149">
        <v>1825</v>
      </c>
      <c r="R149">
        <v>2026</v>
      </c>
    </row>
    <row r="150" spans="1:18" x14ac:dyDescent="0.2">
      <c r="A150" s="2" t="s">
        <v>12</v>
      </c>
      <c r="B150" s="11">
        <v>56977</v>
      </c>
      <c r="C150" s="1">
        <f t="shared" si="32"/>
        <v>92</v>
      </c>
      <c r="D150" s="1">
        <v>175702000</v>
      </c>
      <c r="E150" s="1">
        <f t="shared" si="33"/>
        <v>8</v>
      </c>
      <c r="F150" s="12" t="s">
        <v>514</v>
      </c>
      <c r="G150">
        <v>1971</v>
      </c>
      <c r="H150" s="1">
        <f t="shared" si="34"/>
        <v>57</v>
      </c>
      <c r="I150" t="s">
        <v>203</v>
      </c>
      <c r="J150" s="4">
        <v>10278882</v>
      </c>
      <c r="K150" s="1">
        <f t="shared" si="35"/>
        <v>7</v>
      </c>
      <c r="L150" s="3">
        <f t="shared" si="36"/>
        <v>3083.7355424118505</v>
      </c>
      <c r="M150" s="1">
        <f t="shared" si="37"/>
        <v>7</v>
      </c>
      <c r="N150" s="6">
        <f t="shared" si="38"/>
        <v>5.850179280827765E-2</v>
      </c>
      <c r="O150" s="1">
        <f t="shared" si="39"/>
        <v>149</v>
      </c>
      <c r="P150" s="1" t="s">
        <v>605</v>
      </c>
      <c r="Q150">
        <v>1971</v>
      </c>
      <c r="R150">
        <v>2026</v>
      </c>
    </row>
    <row r="151" spans="1:18" x14ac:dyDescent="0.2">
      <c r="A151" s="2" t="s">
        <v>166</v>
      </c>
      <c r="B151" s="11">
        <v>63170</v>
      </c>
      <c r="C151" s="1">
        <f t="shared" si="32"/>
        <v>91</v>
      </c>
      <c r="D151" s="1">
        <v>11943000</v>
      </c>
      <c r="E151" s="1">
        <f t="shared" si="33"/>
        <v>83</v>
      </c>
      <c r="F151" s="12" t="s">
        <v>515</v>
      </c>
      <c r="G151">
        <v>1956</v>
      </c>
      <c r="H151" s="1">
        <f t="shared" si="34"/>
        <v>111</v>
      </c>
      <c r="I151" t="s">
        <v>381</v>
      </c>
      <c r="J151" s="4">
        <v>693210</v>
      </c>
      <c r="K151" s="1">
        <f t="shared" si="35"/>
        <v>114</v>
      </c>
      <c r="L151" s="3">
        <f t="shared" si="36"/>
        <v>189.06126325787557</v>
      </c>
      <c r="M151" s="1">
        <f t="shared" si="37"/>
        <v>111</v>
      </c>
      <c r="N151" s="6">
        <f t="shared" si="38"/>
        <v>5.8043205224817887E-2</v>
      </c>
      <c r="O151" s="1">
        <f t="shared" si="39"/>
        <v>150</v>
      </c>
      <c r="P151" s="1" t="s">
        <v>608</v>
      </c>
      <c r="Q151">
        <v>1956</v>
      </c>
      <c r="R151">
        <v>2026</v>
      </c>
    </row>
    <row r="152" spans="1:18" x14ac:dyDescent="0.2">
      <c r="A152" s="2" t="s">
        <v>128</v>
      </c>
      <c r="B152" s="11">
        <v>35608</v>
      </c>
      <c r="C152" s="1">
        <f t="shared" si="32"/>
        <v>109</v>
      </c>
      <c r="D152" s="1">
        <v>10827000</v>
      </c>
      <c r="E152" s="1">
        <f t="shared" si="33"/>
        <v>90</v>
      </c>
      <c r="F152" s="12" t="s">
        <v>586</v>
      </c>
      <c r="G152">
        <v>1128</v>
      </c>
      <c r="H152" s="1">
        <f t="shared" si="34"/>
        <v>190</v>
      </c>
      <c r="I152" t="s">
        <v>343</v>
      </c>
      <c r="J152" s="4">
        <v>575739</v>
      </c>
      <c r="K152" s="1">
        <f t="shared" si="35"/>
        <v>123</v>
      </c>
      <c r="L152" s="3">
        <f t="shared" si="36"/>
        <v>304.06088519433837</v>
      </c>
      <c r="M152" s="1">
        <f t="shared" si="37"/>
        <v>77</v>
      </c>
      <c r="N152" s="6">
        <f t="shared" si="38"/>
        <v>5.3176226101413135E-2</v>
      </c>
      <c r="O152" s="1">
        <f t="shared" si="39"/>
        <v>151</v>
      </c>
      <c r="P152" s="1" t="s">
        <v>606</v>
      </c>
      <c r="Q152">
        <v>1128</v>
      </c>
      <c r="R152">
        <v>2026</v>
      </c>
    </row>
    <row r="153" spans="1:18" x14ac:dyDescent="0.2">
      <c r="A153" s="2" t="s">
        <v>123</v>
      </c>
      <c r="B153" s="11">
        <v>178355</v>
      </c>
      <c r="C153" s="1">
        <f t="shared" si="32"/>
        <v>53</v>
      </c>
      <c r="D153" s="1">
        <v>14293000</v>
      </c>
      <c r="E153" s="1">
        <f t="shared" si="33"/>
        <v>77</v>
      </c>
      <c r="F153" s="12" t="s">
        <v>516</v>
      </c>
      <c r="G153">
        <v>1975</v>
      </c>
      <c r="H153" s="1">
        <f t="shared" si="34"/>
        <v>46</v>
      </c>
      <c r="I153" t="s">
        <v>338</v>
      </c>
      <c r="J153" s="4">
        <v>756754</v>
      </c>
      <c r="K153" s="1">
        <f t="shared" si="35"/>
        <v>107</v>
      </c>
      <c r="L153" s="3">
        <f t="shared" si="36"/>
        <v>80.137927167727284</v>
      </c>
      <c r="M153" s="1">
        <f t="shared" si="37"/>
        <v>152</v>
      </c>
      <c r="N153" s="6">
        <f t="shared" si="38"/>
        <v>5.2945777653396767E-2</v>
      </c>
      <c r="O153" s="1">
        <f t="shared" si="39"/>
        <v>152</v>
      </c>
      <c r="P153" s="1" t="s">
        <v>609</v>
      </c>
      <c r="Q153">
        <v>1975</v>
      </c>
      <c r="R153">
        <v>2026</v>
      </c>
    </row>
    <row r="154" spans="1:18" x14ac:dyDescent="0.2">
      <c r="A154" s="2" t="s">
        <v>112</v>
      </c>
      <c r="B154" s="11">
        <v>14436</v>
      </c>
      <c r="C154" s="1">
        <f t="shared" si="32"/>
        <v>133</v>
      </c>
      <c r="D154" s="1">
        <v>18038000</v>
      </c>
      <c r="E154" s="1">
        <f t="shared" si="33"/>
        <v>70</v>
      </c>
      <c r="F154" s="12" t="s">
        <v>587</v>
      </c>
      <c r="G154">
        <v>1648</v>
      </c>
      <c r="H154" s="1">
        <f t="shared" si="34"/>
        <v>185</v>
      </c>
      <c r="I154" t="s">
        <v>326</v>
      </c>
      <c r="J154" s="4">
        <v>933680</v>
      </c>
      <c r="K154" s="1">
        <f t="shared" si="35"/>
        <v>98</v>
      </c>
      <c r="L154" s="3">
        <f t="shared" si="36"/>
        <v>1249.5151011360488</v>
      </c>
      <c r="M154" s="1">
        <f t="shared" si="37"/>
        <v>17</v>
      </c>
      <c r="N154" s="6">
        <f t="shared" si="38"/>
        <v>5.1761836123738775E-2</v>
      </c>
      <c r="O154" s="1">
        <f t="shared" si="39"/>
        <v>153</v>
      </c>
      <c r="P154" s="1" t="s">
        <v>606</v>
      </c>
      <c r="Q154">
        <v>1648</v>
      </c>
      <c r="R154">
        <v>2026</v>
      </c>
    </row>
    <row r="155" spans="1:18" x14ac:dyDescent="0.2">
      <c r="A155" s="2" t="s">
        <v>127</v>
      </c>
      <c r="B155" s="11">
        <v>120423</v>
      </c>
      <c r="C155" s="1">
        <f t="shared" si="32"/>
        <v>70</v>
      </c>
      <c r="D155" s="1">
        <v>37412000</v>
      </c>
      <c r="E155" s="1">
        <f t="shared" si="33"/>
        <v>39</v>
      </c>
      <c r="F155" s="12" t="s">
        <v>588</v>
      </c>
      <c r="G155">
        <v>1025</v>
      </c>
      <c r="H155" s="1">
        <f t="shared" si="34"/>
        <v>191</v>
      </c>
      <c r="I155" t="s">
        <v>342</v>
      </c>
      <c r="J155" s="4">
        <v>1862402</v>
      </c>
      <c r="K155" s="1">
        <f t="shared" si="35"/>
        <v>57</v>
      </c>
      <c r="L155" s="3">
        <f t="shared" si="36"/>
        <v>310.67154945483838</v>
      </c>
      <c r="M155" s="1">
        <f t="shared" si="37"/>
        <v>75</v>
      </c>
      <c r="N155" s="6">
        <f t="shared" si="38"/>
        <v>4.9780872447343097E-2</v>
      </c>
      <c r="O155" s="1">
        <f t="shared" si="39"/>
        <v>154</v>
      </c>
      <c r="P155" s="1" t="s">
        <v>606</v>
      </c>
      <c r="Q155">
        <v>1025</v>
      </c>
      <c r="R155">
        <v>2026</v>
      </c>
    </row>
    <row r="156" spans="1:18" x14ac:dyDescent="0.2">
      <c r="A156" s="2" t="s">
        <v>94</v>
      </c>
      <c r="B156" s="11">
        <v>45854</v>
      </c>
      <c r="C156" s="1">
        <f t="shared" si="32"/>
        <v>99</v>
      </c>
      <c r="D156" s="1">
        <v>20734000</v>
      </c>
      <c r="E156" s="1">
        <f t="shared" si="33"/>
        <v>64</v>
      </c>
      <c r="F156" s="12" t="s">
        <v>517</v>
      </c>
      <c r="G156">
        <v>1966</v>
      </c>
      <c r="H156" s="1">
        <f t="shared" si="34"/>
        <v>68</v>
      </c>
      <c r="I156" t="s">
        <v>308</v>
      </c>
      <c r="J156" s="4">
        <v>989318</v>
      </c>
      <c r="K156" s="1">
        <f t="shared" si="35"/>
        <v>97</v>
      </c>
      <c r="L156" s="3">
        <f t="shared" si="36"/>
        <v>452.17429231909978</v>
      </c>
      <c r="M156" s="1">
        <f t="shared" si="37"/>
        <v>55</v>
      </c>
      <c r="N156" s="6">
        <f t="shared" si="38"/>
        <v>4.7714768013890227E-2</v>
      </c>
      <c r="O156" s="1">
        <f t="shared" si="39"/>
        <v>155</v>
      </c>
      <c r="P156" s="1" t="s">
        <v>608</v>
      </c>
      <c r="Q156">
        <v>1966</v>
      </c>
      <c r="R156">
        <v>2026</v>
      </c>
    </row>
    <row r="157" spans="1:18" x14ac:dyDescent="0.2">
      <c r="A157" s="2" t="s">
        <v>74</v>
      </c>
      <c r="B157" s="11">
        <v>116629</v>
      </c>
      <c r="C157" s="1">
        <f t="shared" si="32"/>
        <v>72</v>
      </c>
      <c r="D157" s="1">
        <v>59198000</v>
      </c>
      <c r="E157" s="1">
        <f t="shared" si="33"/>
        <v>25</v>
      </c>
      <c r="F157" s="12" t="s">
        <v>589</v>
      </c>
      <c r="G157">
        <v>1861</v>
      </c>
      <c r="H157" s="1">
        <f t="shared" si="34"/>
        <v>157</v>
      </c>
      <c r="I157" t="s">
        <v>288</v>
      </c>
      <c r="J157" s="4">
        <v>2746984</v>
      </c>
      <c r="K157" s="1">
        <f t="shared" si="35"/>
        <v>40</v>
      </c>
      <c r="L157" s="3">
        <f t="shared" si="36"/>
        <v>507.57530288350239</v>
      </c>
      <c r="M157" s="1">
        <f t="shared" si="37"/>
        <v>53</v>
      </c>
      <c r="N157" s="6">
        <f t="shared" si="38"/>
        <v>4.6403324436636376E-2</v>
      </c>
      <c r="O157" s="1">
        <f t="shared" si="39"/>
        <v>156</v>
      </c>
      <c r="P157" s="1" t="s">
        <v>606</v>
      </c>
      <c r="Q157">
        <v>1861</v>
      </c>
      <c r="R157">
        <v>2026</v>
      </c>
    </row>
    <row r="158" spans="1:18" x14ac:dyDescent="0.2">
      <c r="A158" s="2" t="s">
        <v>57</v>
      </c>
      <c r="B158" s="11">
        <v>138208</v>
      </c>
      <c r="C158" s="1">
        <f t="shared" si="32"/>
        <v>63</v>
      </c>
      <c r="D158" s="1">
        <v>83433000</v>
      </c>
      <c r="E158" s="1">
        <f t="shared" si="33"/>
        <v>19</v>
      </c>
      <c r="F158" s="12" t="s">
        <v>590</v>
      </c>
      <c r="G158">
        <v>1871</v>
      </c>
      <c r="H158" s="1">
        <f t="shared" si="34"/>
        <v>154</v>
      </c>
      <c r="I158" t="s">
        <v>261</v>
      </c>
      <c r="J158" s="4">
        <v>3596999</v>
      </c>
      <c r="K158" s="1">
        <f t="shared" si="35"/>
        <v>29</v>
      </c>
      <c r="L158" s="3">
        <f t="shared" si="36"/>
        <v>603.67706645056728</v>
      </c>
      <c r="M158" s="1">
        <f t="shared" si="37"/>
        <v>43</v>
      </c>
      <c r="N158" s="6">
        <f t="shared" si="38"/>
        <v>4.3112425539055289E-2</v>
      </c>
      <c r="O158" s="1">
        <f t="shared" si="39"/>
        <v>157</v>
      </c>
      <c r="P158" s="1" t="s">
        <v>606</v>
      </c>
      <c r="Q158">
        <v>1871</v>
      </c>
      <c r="R158">
        <v>2026</v>
      </c>
    </row>
    <row r="159" spans="1:18" x14ac:dyDescent="0.2">
      <c r="A159" s="2" t="s">
        <v>238</v>
      </c>
      <c r="B159" s="11">
        <v>3572</v>
      </c>
      <c r="C159" s="1">
        <f t="shared" si="32"/>
        <v>164</v>
      </c>
      <c r="D159" s="1">
        <v>1347000</v>
      </c>
      <c r="E159" s="1">
        <f t="shared" si="33"/>
        <v>155</v>
      </c>
      <c r="F159" s="12" t="s">
        <v>518</v>
      </c>
      <c r="G159">
        <v>1960</v>
      </c>
      <c r="H159" s="1">
        <f t="shared" si="34"/>
        <v>92</v>
      </c>
      <c r="I159" t="s">
        <v>239</v>
      </c>
      <c r="J159" s="4">
        <v>56848</v>
      </c>
      <c r="K159" s="1">
        <f t="shared" si="35"/>
        <v>171</v>
      </c>
      <c r="L159" s="3">
        <f t="shared" si="36"/>
        <v>377.09966405375138</v>
      </c>
      <c r="M159" s="1">
        <f t="shared" si="37"/>
        <v>64</v>
      </c>
      <c r="N159" s="6">
        <f t="shared" si="38"/>
        <v>4.2203414996288047E-2</v>
      </c>
      <c r="O159" s="1">
        <f t="shared" si="39"/>
        <v>158</v>
      </c>
      <c r="P159" s="1" t="s">
        <v>605</v>
      </c>
      <c r="Q159">
        <v>1960</v>
      </c>
      <c r="R159">
        <v>2026</v>
      </c>
    </row>
    <row r="160" spans="1:18" x14ac:dyDescent="0.2">
      <c r="A160" s="2" t="s">
        <v>31</v>
      </c>
      <c r="B160" s="11">
        <v>495755</v>
      </c>
      <c r="C160" s="1">
        <f t="shared" si="32"/>
        <v>20</v>
      </c>
      <c r="D160" s="1">
        <v>19338000</v>
      </c>
      <c r="E160" s="1">
        <f t="shared" si="33"/>
        <v>67</v>
      </c>
      <c r="F160" s="12" t="s">
        <v>519</v>
      </c>
      <c r="G160">
        <v>1960</v>
      </c>
      <c r="H160" s="1">
        <f t="shared" si="34"/>
        <v>92</v>
      </c>
      <c r="I160" t="s">
        <v>228</v>
      </c>
      <c r="J160" s="4">
        <v>807000</v>
      </c>
      <c r="K160" s="1">
        <f t="shared" si="35"/>
        <v>103</v>
      </c>
      <c r="L160" s="3">
        <f t="shared" si="36"/>
        <v>39.007170880777807</v>
      </c>
      <c r="M160" s="1">
        <f t="shared" si="37"/>
        <v>179</v>
      </c>
      <c r="N160" s="6">
        <f t="shared" si="38"/>
        <v>4.1731306236425687E-2</v>
      </c>
      <c r="O160" s="1">
        <f t="shared" si="39"/>
        <v>159</v>
      </c>
      <c r="P160" s="1" t="s">
        <v>608</v>
      </c>
      <c r="Q160">
        <v>1960</v>
      </c>
      <c r="R160">
        <v>2026</v>
      </c>
    </row>
    <row r="161" spans="1:19" x14ac:dyDescent="0.2">
      <c r="A161" s="2" t="s">
        <v>113</v>
      </c>
      <c r="B161" s="11">
        <v>102587</v>
      </c>
      <c r="C161" s="1">
        <f t="shared" si="32"/>
        <v>75</v>
      </c>
      <c r="D161" s="1">
        <v>5136000</v>
      </c>
      <c r="E161" s="1">
        <f t="shared" si="33"/>
        <v>125</v>
      </c>
      <c r="F161" s="12" t="s">
        <v>520</v>
      </c>
      <c r="G161">
        <v>1907</v>
      </c>
      <c r="H161" s="1">
        <f t="shared" si="34"/>
        <v>146</v>
      </c>
      <c r="I161" t="s">
        <v>327</v>
      </c>
      <c r="J161" s="4">
        <v>210800</v>
      </c>
      <c r="K161" s="1">
        <f t="shared" si="35"/>
        <v>151</v>
      </c>
      <c r="L161" s="3">
        <f t="shared" si="36"/>
        <v>50.064823028258942</v>
      </c>
      <c r="M161" s="1">
        <f t="shared" si="37"/>
        <v>171</v>
      </c>
      <c r="N161" s="6">
        <f t="shared" si="38"/>
        <v>4.1043613707165111E-2</v>
      </c>
      <c r="O161" s="1">
        <f t="shared" si="39"/>
        <v>160</v>
      </c>
      <c r="P161" s="1" t="s">
        <v>609</v>
      </c>
      <c r="Q161">
        <v>1907</v>
      </c>
      <c r="R161">
        <v>2026</v>
      </c>
    </row>
    <row r="162" spans="1:19" x14ac:dyDescent="0.2">
      <c r="A162" s="2" t="s">
        <v>154</v>
      </c>
      <c r="B162" s="11">
        <v>710693</v>
      </c>
      <c r="C162" s="1">
        <f t="shared" ref="C162:C193" si="40">RANK(B162,B$2:B$197)</f>
        <v>15</v>
      </c>
      <c r="D162" s="1">
        <v>48945000</v>
      </c>
      <c r="E162" s="1">
        <f t="shared" ref="E162:E193" si="41">RANK(D162,D$2:D$197)</f>
        <v>31</v>
      </c>
      <c r="F162" s="12" t="s">
        <v>521</v>
      </c>
      <c r="G162">
        <v>1956</v>
      </c>
      <c r="H162" s="1">
        <f t="shared" ref="H162:H193" si="42">RANK(G162,G$2:G$197)</f>
        <v>111</v>
      </c>
      <c r="I162" t="s">
        <v>367</v>
      </c>
      <c r="J162" s="4">
        <v>1974647</v>
      </c>
      <c r="K162" s="1">
        <f t="shared" ref="K162:K193" si="43">RANK(J162,J$2:J$197)</f>
        <v>54</v>
      </c>
      <c r="L162" s="3">
        <f t="shared" ref="L162:L197" si="44">D162/B162</f>
        <v>68.869399304622391</v>
      </c>
      <c r="M162" s="1">
        <f t="shared" ref="M162:M193" si="45">RANK(L162,L$2:L$197)</f>
        <v>162</v>
      </c>
      <c r="N162" s="6">
        <f t="shared" ref="N162:N197" si="46">J162/D162</f>
        <v>4.0344202676473595E-2</v>
      </c>
      <c r="O162" s="1">
        <f t="shared" ref="O162:O193" si="47">RANK(N162,N$2:N$197)</f>
        <v>161</v>
      </c>
      <c r="P162" s="1" t="s">
        <v>608</v>
      </c>
      <c r="Q162">
        <v>1956</v>
      </c>
      <c r="R162">
        <v>2026</v>
      </c>
    </row>
    <row r="163" spans="1:19" x14ac:dyDescent="0.2">
      <c r="A163" s="2" t="s">
        <v>93</v>
      </c>
      <c r="B163" s="11">
        <v>228532</v>
      </c>
      <c r="C163" s="1">
        <f t="shared" si="40"/>
        <v>45</v>
      </c>
      <c r="D163" s="1">
        <v>31727000</v>
      </c>
      <c r="E163" s="1">
        <f t="shared" si="41"/>
        <v>51</v>
      </c>
      <c r="F163" s="12" t="s">
        <v>522</v>
      </c>
      <c r="G163">
        <v>1960</v>
      </c>
      <c r="H163" s="1">
        <f t="shared" si="42"/>
        <v>92</v>
      </c>
      <c r="I163" t="s">
        <v>307</v>
      </c>
      <c r="J163" s="4">
        <v>1274225</v>
      </c>
      <c r="K163" s="1">
        <f t="shared" si="43"/>
        <v>78</v>
      </c>
      <c r="L163" s="3">
        <f t="shared" si="44"/>
        <v>138.82957310135998</v>
      </c>
      <c r="M163" s="1">
        <f t="shared" si="45"/>
        <v>130</v>
      </c>
      <c r="N163" s="6">
        <f t="shared" si="46"/>
        <v>4.0162164717748292E-2</v>
      </c>
      <c r="O163" s="1">
        <f t="shared" si="47"/>
        <v>162</v>
      </c>
      <c r="P163" s="1" t="s">
        <v>608</v>
      </c>
      <c r="Q163">
        <v>1960</v>
      </c>
      <c r="R163">
        <v>2026</v>
      </c>
    </row>
    <row r="164" spans="1:19" x14ac:dyDescent="0.2">
      <c r="A164" s="2" t="s">
        <v>170</v>
      </c>
      <c r="B164" s="11">
        <v>93264</v>
      </c>
      <c r="C164" s="1">
        <f t="shared" si="40"/>
        <v>79</v>
      </c>
      <c r="D164" s="1">
        <v>47487000</v>
      </c>
      <c r="E164" s="1">
        <f t="shared" si="41"/>
        <v>34</v>
      </c>
      <c r="F164" s="12" t="s">
        <v>523</v>
      </c>
      <c r="G164">
        <v>1963</v>
      </c>
      <c r="H164" s="1">
        <f t="shared" si="42"/>
        <v>81</v>
      </c>
      <c r="I164" t="s">
        <v>385</v>
      </c>
      <c r="J164" s="4">
        <v>1797722</v>
      </c>
      <c r="K164" s="1">
        <f t="shared" si="43"/>
        <v>58</v>
      </c>
      <c r="L164" s="3">
        <f t="shared" si="44"/>
        <v>509.16752444673187</v>
      </c>
      <c r="M164" s="1">
        <f t="shared" si="45"/>
        <v>52</v>
      </c>
      <c r="N164" s="6">
        <f t="shared" si="46"/>
        <v>3.7857139848800722E-2</v>
      </c>
      <c r="O164" s="1">
        <f t="shared" si="47"/>
        <v>163</v>
      </c>
      <c r="P164" s="1" t="s">
        <v>608</v>
      </c>
      <c r="Q164">
        <v>1963</v>
      </c>
      <c r="R164">
        <v>2026</v>
      </c>
    </row>
    <row r="165" spans="1:19" x14ac:dyDescent="0.2">
      <c r="A165" s="2" t="s">
        <v>115</v>
      </c>
      <c r="B165" s="11">
        <v>489191</v>
      </c>
      <c r="C165" s="1">
        <f t="shared" si="40"/>
        <v>21</v>
      </c>
      <c r="D165" s="1">
        <v>27275000</v>
      </c>
      <c r="E165" s="1">
        <f t="shared" si="41"/>
        <v>55</v>
      </c>
      <c r="F165" s="12" t="s">
        <v>524</v>
      </c>
      <c r="G165">
        <v>1960</v>
      </c>
      <c r="H165" s="1">
        <f t="shared" si="42"/>
        <v>92</v>
      </c>
      <c r="I165" t="s">
        <v>329</v>
      </c>
      <c r="J165" s="4">
        <v>1026848</v>
      </c>
      <c r="K165" s="1">
        <f t="shared" si="43"/>
        <v>94</v>
      </c>
      <c r="L165" s="3">
        <f t="shared" si="44"/>
        <v>55.75531847478797</v>
      </c>
      <c r="M165" s="1">
        <f t="shared" si="45"/>
        <v>166</v>
      </c>
      <c r="N165" s="6">
        <f t="shared" si="46"/>
        <v>3.7647956003666362E-2</v>
      </c>
      <c r="O165" s="1">
        <f t="shared" si="47"/>
        <v>164</v>
      </c>
      <c r="P165" s="1" t="s">
        <v>608</v>
      </c>
      <c r="Q165">
        <v>1960</v>
      </c>
      <c r="R165">
        <v>2026</v>
      </c>
    </row>
    <row r="166" spans="1:19" x14ac:dyDescent="0.2">
      <c r="A166" s="2" t="s">
        <v>70</v>
      </c>
      <c r="B166" s="11">
        <v>730663</v>
      </c>
      <c r="C166" s="1">
        <f t="shared" si="40"/>
        <v>14</v>
      </c>
      <c r="D166" s="1">
        <v>284698000</v>
      </c>
      <c r="E166" s="1">
        <f t="shared" si="41"/>
        <v>4</v>
      </c>
      <c r="F166" s="12" t="s">
        <v>525</v>
      </c>
      <c r="G166">
        <v>1945</v>
      </c>
      <c r="H166" s="1">
        <f t="shared" si="42"/>
        <v>129</v>
      </c>
      <c r="I166" t="s">
        <v>278</v>
      </c>
      <c r="J166" s="4">
        <v>10684946</v>
      </c>
      <c r="K166" s="1">
        <f t="shared" si="43"/>
        <v>5</v>
      </c>
      <c r="L166" s="3">
        <f t="shared" si="44"/>
        <v>389.6433786848383</v>
      </c>
      <c r="M166" s="1">
        <f t="shared" si="45"/>
        <v>61</v>
      </c>
      <c r="N166" s="6">
        <f t="shared" si="46"/>
        <v>3.7530808084356056E-2</v>
      </c>
      <c r="O166" s="1">
        <f t="shared" si="47"/>
        <v>165</v>
      </c>
      <c r="P166" s="1" t="s">
        <v>605</v>
      </c>
      <c r="Q166">
        <v>1945</v>
      </c>
      <c r="R166">
        <v>2026</v>
      </c>
    </row>
    <row r="167" spans="1:19" x14ac:dyDescent="0.2">
      <c r="A167" s="2" t="s">
        <v>53</v>
      </c>
      <c r="B167" s="11">
        <v>432434</v>
      </c>
      <c r="C167" s="1">
        <f t="shared" si="40"/>
        <v>26</v>
      </c>
      <c r="D167" s="1">
        <v>111702000</v>
      </c>
      <c r="E167" s="1">
        <f t="shared" si="41"/>
        <v>13</v>
      </c>
      <c r="F167" s="12" t="s">
        <v>526</v>
      </c>
      <c r="G167">
        <v>1942</v>
      </c>
      <c r="H167" s="1">
        <f t="shared" si="42"/>
        <v>132</v>
      </c>
      <c r="I167" t="s">
        <v>254</v>
      </c>
      <c r="J167" s="4">
        <v>4114000</v>
      </c>
      <c r="K167" s="1">
        <f t="shared" si="43"/>
        <v>27</v>
      </c>
      <c r="L167" s="3">
        <f t="shared" si="44"/>
        <v>258.3099386264725</v>
      </c>
      <c r="M167" s="1">
        <f t="shared" si="45"/>
        <v>90</v>
      </c>
      <c r="N167" s="6">
        <f t="shared" si="46"/>
        <v>3.6830137329680761E-2</v>
      </c>
      <c r="O167" s="1">
        <f t="shared" si="47"/>
        <v>166</v>
      </c>
      <c r="P167" s="1" t="s">
        <v>608</v>
      </c>
      <c r="Q167">
        <v>1942</v>
      </c>
      <c r="R167">
        <v>2026</v>
      </c>
    </row>
    <row r="168" spans="1:19" x14ac:dyDescent="0.2">
      <c r="A168" s="2" t="s">
        <v>165</v>
      </c>
      <c r="B168" s="11">
        <v>1980</v>
      </c>
      <c r="C168" s="1">
        <f t="shared" si="40"/>
        <v>166</v>
      </c>
      <c r="D168" s="1">
        <v>1369000</v>
      </c>
      <c r="E168" s="1">
        <f t="shared" si="41"/>
        <v>154</v>
      </c>
      <c r="F168" s="12" t="s">
        <v>527</v>
      </c>
      <c r="G168">
        <v>1962</v>
      </c>
      <c r="H168" s="1">
        <f t="shared" si="42"/>
        <v>84</v>
      </c>
      <c r="I168" t="s">
        <v>380</v>
      </c>
      <c r="J168" s="4">
        <v>49867</v>
      </c>
      <c r="K168" s="1">
        <f t="shared" si="43"/>
        <v>172</v>
      </c>
      <c r="L168" s="3">
        <f t="shared" si="44"/>
        <v>691.41414141414145</v>
      </c>
      <c r="M168" s="1">
        <f t="shared" si="45"/>
        <v>37</v>
      </c>
      <c r="N168" s="6">
        <f t="shared" si="46"/>
        <v>3.6425858290723152E-2</v>
      </c>
      <c r="O168" s="1">
        <f t="shared" si="47"/>
        <v>167</v>
      </c>
      <c r="P168" s="1" t="s">
        <v>607</v>
      </c>
      <c r="Q168">
        <v>1962</v>
      </c>
      <c r="R168">
        <v>2026</v>
      </c>
    </row>
    <row r="169" spans="1:19" x14ac:dyDescent="0.2">
      <c r="A169" s="2" t="s">
        <v>151</v>
      </c>
      <c r="B169" s="11">
        <v>248777</v>
      </c>
      <c r="C169" s="1">
        <f t="shared" si="40"/>
        <v>41</v>
      </c>
      <c r="D169" s="1">
        <v>15787000</v>
      </c>
      <c r="E169" s="1">
        <f t="shared" si="41"/>
        <v>75</v>
      </c>
      <c r="F169" s="12" t="s">
        <v>528</v>
      </c>
      <c r="G169">
        <v>2011</v>
      </c>
      <c r="H169" s="1">
        <f t="shared" si="42"/>
        <v>1</v>
      </c>
      <c r="I169" t="s">
        <v>364</v>
      </c>
      <c r="J169" s="4">
        <v>525953</v>
      </c>
      <c r="K169" s="1">
        <f t="shared" si="43"/>
        <v>127</v>
      </c>
      <c r="L169" s="3">
        <f t="shared" si="44"/>
        <v>63.458438682032501</v>
      </c>
      <c r="M169" s="1">
        <f t="shared" si="45"/>
        <v>163</v>
      </c>
      <c r="N169" s="6">
        <f t="shared" si="46"/>
        <v>3.3315576106923421E-2</v>
      </c>
      <c r="O169" s="1">
        <f t="shared" si="47"/>
        <v>168</v>
      </c>
      <c r="P169" s="1" t="s">
        <v>608</v>
      </c>
      <c r="Q169">
        <v>2011</v>
      </c>
      <c r="R169">
        <v>2026</v>
      </c>
    </row>
    <row r="170" spans="1:19" x14ac:dyDescent="0.2">
      <c r="A170" s="2" t="s">
        <v>107</v>
      </c>
      <c r="B170" s="11">
        <v>308642</v>
      </c>
      <c r="C170" s="1">
        <f t="shared" si="40"/>
        <v>34</v>
      </c>
      <c r="D170" s="1">
        <v>34091000</v>
      </c>
      <c r="E170" s="1">
        <f t="shared" si="41"/>
        <v>46</v>
      </c>
      <c r="F170" s="12" t="s">
        <v>529</v>
      </c>
      <c r="G170">
        <v>1975</v>
      </c>
      <c r="H170" s="1">
        <f t="shared" si="42"/>
        <v>46</v>
      </c>
      <c r="I170" t="s">
        <v>321</v>
      </c>
      <c r="J170" s="4">
        <v>1088449</v>
      </c>
      <c r="K170" s="1">
        <f t="shared" si="43"/>
        <v>87</v>
      </c>
      <c r="L170" s="3">
        <f t="shared" si="44"/>
        <v>110.45483116361351</v>
      </c>
      <c r="M170" s="1">
        <f t="shared" si="45"/>
        <v>144</v>
      </c>
      <c r="N170" s="6">
        <f t="shared" si="46"/>
        <v>3.1927752192660822E-2</v>
      </c>
      <c r="O170" s="1">
        <f t="shared" si="47"/>
        <v>169</v>
      </c>
      <c r="P170" s="1" t="s">
        <v>608</v>
      </c>
      <c r="Q170">
        <v>1975</v>
      </c>
      <c r="R170">
        <v>2026</v>
      </c>
    </row>
    <row r="171" spans="1:19" x14ac:dyDescent="0.2">
      <c r="A171" s="2" t="s">
        <v>184</v>
      </c>
      <c r="B171" s="11">
        <v>210017</v>
      </c>
      <c r="C171" s="1">
        <f t="shared" si="40"/>
        <v>48</v>
      </c>
      <c r="D171" s="1">
        <v>66607000</v>
      </c>
      <c r="E171" s="1">
        <f t="shared" si="41"/>
        <v>22</v>
      </c>
      <c r="F171" s="12" t="s">
        <v>554</v>
      </c>
      <c r="G171">
        <v>843</v>
      </c>
      <c r="H171" s="1">
        <f t="shared" si="42"/>
        <v>193</v>
      </c>
      <c r="I171" t="s">
        <v>257</v>
      </c>
      <c r="J171" s="4">
        <v>2047602</v>
      </c>
      <c r="K171" s="1">
        <f t="shared" si="43"/>
        <v>51</v>
      </c>
      <c r="L171" s="3">
        <f t="shared" si="44"/>
        <v>317.15051638676869</v>
      </c>
      <c r="M171" s="1">
        <f t="shared" si="45"/>
        <v>73</v>
      </c>
      <c r="N171" s="6">
        <f t="shared" si="46"/>
        <v>3.0741543681595027E-2</v>
      </c>
      <c r="O171" s="1">
        <f t="shared" si="47"/>
        <v>170</v>
      </c>
      <c r="P171" s="1" t="s">
        <v>606</v>
      </c>
      <c r="Q171">
        <v>843</v>
      </c>
      <c r="R171">
        <v>2026</v>
      </c>
    </row>
    <row r="172" spans="1:19" x14ac:dyDescent="0.2">
      <c r="A172" s="2" t="s">
        <v>111</v>
      </c>
      <c r="B172" s="11">
        <v>56827</v>
      </c>
      <c r="C172" s="1">
        <f t="shared" si="40"/>
        <v>93</v>
      </c>
      <c r="D172" s="1">
        <v>30147000</v>
      </c>
      <c r="E172" s="1">
        <f t="shared" si="41"/>
        <v>52</v>
      </c>
      <c r="F172" s="12" t="s">
        <v>530</v>
      </c>
      <c r="G172">
        <v>1923</v>
      </c>
      <c r="H172" s="1">
        <f t="shared" si="42"/>
        <v>139</v>
      </c>
      <c r="I172" t="s">
        <v>325</v>
      </c>
      <c r="J172" s="4">
        <v>856767</v>
      </c>
      <c r="K172" s="1">
        <f t="shared" si="43"/>
        <v>100</v>
      </c>
      <c r="L172" s="3">
        <f t="shared" si="44"/>
        <v>530.50486564485198</v>
      </c>
      <c r="M172" s="1">
        <f t="shared" si="45"/>
        <v>50</v>
      </c>
      <c r="N172" s="6">
        <f t="shared" si="46"/>
        <v>2.8419643745646334E-2</v>
      </c>
      <c r="O172" s="1">
        <f t="shared" si="47"/>
        <v>171</v>
      </c>
      <c r="P172" s="1" t="s">
        <v>605</v>
      </c>
      <c r="Q172">
        <v>1923</v>
      </c>
      <c r="R172">
        <v>2026</v>
      </c>
    </row>
    <row r="173" spans="1:19" x14ac:dyDescent="0.2">
      <c r="A173" s="2" t="s">
        <v>104</v>
      </c>
      <c r="B173" s="11">
        <v>0.8</v>
      </c>
      <c r="C173" s="1">
        <f t="shared" si="40"/>
        <v>195</v>
      </c>
      <c r="D173" s="1">
        <v>38600</v>
      </c>
      <c r="E173" s="1">
        <f t="shared" si="41"/>
        <v>191</v>
      </c>
      <c r="F173" s="12" t="s">
        <v>553</v>
      </c>
      <c r="G173">
        <v>1861</v>
      </c>
      <c r="H173" s="1">
        <f t="shared" si="42"/>
        <v>157</v>
      </c>
      <c r="I173" t="s">
        <v>104</v>
      </c>
      <c r="J173" s="4">
        <v>975</v>
      </c>
      <c r="K173" s="1">
        <f t="shared" si="43"/>
        <v>193</v>
      </c>
      <c r="L173" s="3">
        <f t="shared" si="44"/>
        <v>48250</v>
      </c>
      <c r="M173" s="1">
        <f t="shared" si="45"/>
        <v>1</v>
      </c>
      <c r="N173" s="6">
        <f t="shared" si="46"/>
        <v>2.5259067357512953E-2</v>
      </c>
      <c r="O173" s="1">
        <f t="shared" si="47"/>
        <v>172</v>
      </c>
      <c r="P173" s="1" t="s">
        <v>606</v>
      </c>
      <c r="Q173">
        <v>1861</v>
      </c>
      <c r="R173">
        <v>2026</v>
      </c>
    </row>
    <row r="174" spans="1:19" x14ac:dyDescent="0.2">
      <c r="A174" s="2" t="s">
        <v>29</v>
      </c>
      <c r="B174" s="11">
        <v>3848758</v>
      </c>
      <c r="C174" s="1">
        <f t="shared" si="40"/>
        <v>2</v>
      </c>
      <c r="D174" s="1">
        <v>42512000</v>
      </c>
      <c r="E174" s="1">
        <f t="shared" si="41"/>
        <v>37</v>
      </c>
      <c r="F174" s="12" t="s">
        <v>552</v>
      </c>
      <c r="G174">
        <v>1867</v>
      </c>
      <c r="H174" s="1">
        <f t="shared" si="42"/>
        <v>155</v>
      </c>
      <c r="I174" t="s">
        <v>226</v>
      </c>
      <c r="J174" s="4">
        <v>1017449</v>
      </c>
      <c r="K174" s="1">
        <f t="shared" si="43"/>
        <v>95</v>
      </c>
      <c r="L174" s="3">
        <f t="shared" si="44"/>
        <v>11.045641217244627</v>
      </c>
      <c r="M174" s="1">
        <f t="shared" si="45"/>
        <v>190</v>
      </c>
      <c r="N174" s="6">
        <f t="shared" si="46"/>
        <v>2.3933218855852464E-2</v>
      </c>
      <c r="O174" s="1">
        <f t="shared" si="47"/>
        <v>173</v>
      </c>
      <c r="P174" s="1" t="s">
        <v>607</v>
      </c>
      <c r="Q174">
        <v>1867</v>
      </c>
      <c r="R174">
        <v>2026</v>
      </c>
    </row>
    <row r="175" spans="1:19" x14ac:dyDescent="0.2">
      <c r="A175" s="2" t="s">
        <v>17</v>
      </c>
      <c r="B175" s="11">
        <v>44310</v>
      </c>
      <c r="C175" s="1">
        <f t="shared" si="40"/>
        <v>100</v>
      </c>
      <c r="D175" s="1">
        <v>14054000</v>
      </c>
      <c r="E175" s="1">
        <f t="shared" si="41"/>
        <v>79</v>
      </c>
      <c r="F175" s="12" t="s">
        <v>531</v>
      </c>
      <c r="G175">
        <v>1960</v>
      </c>
      <c r="H175" s="1">
        <f t="shared" si="42"/>
        <v>92</v>
      </c>
      <c r="I175" t="s">
        <v>211</v>
      </c>
      <c r="J175" s="4">
        <v>264320</v>
      </c>
      <c r="K175" s="1">
        <f t="shared" si="43"/>
        <v>145</v>
      </c>
      <c r="L175" s="3">
        <f t="shared" si="44"/>
        <v>317.17445271947639</v>
      </c>
      <c r="M175" s="1">
        <f t="shared" si="45"/>
        <v>72</v>
      </c>
      <c r="N175" s="6">
        <f t="shared" si="46"/>
        <v>1.8807456951757506E-2</v>
      </c>
      <c r="O175" s="1">
        <f t="shared" si="47"/>
        <v>174</v>
      </c>
      <c r="P175" s="1" t="s">
        <v>608</v>
      </c>
      <c r="Q175">
        <v>1960</v>
      </c>
      <c r="R175">
        <v>2026</v>
      </c>
      <c r="S175" t="s">
        <v>210</v>
      </c>
    </row>
    <row r="176" spans="1:19" x14ac:dyDescent="0.2">
      <c r="A176" s="2" t="s">
        <v>121</v>
      </c>
      <c r="B176" s="11">
        <v>188</v>
      </c>
      <c r="C176" s="1">
        <f t="shared" si="40"/>
        <v>180</v>
      </c>
      <c r="D176" s="1">
        <v>17600</v>
      </c>
      <c r="E176" s="1">
        <f t="shared" si="41"/>
        <v>193</v>
      </c>
      <c r="F176" s="12" t="s">
        <v>532</v>
      </c>
      <c r="G176">
        <v>1981</v>
      </c>
      <c r="H176" s="1">
        <f t="shared" si="42"/>
        <v>31</v>
      </c>
      <c r="I176" t="s">
        <v>336</v>
      </c>
      <c r="J176" s="4">
        <v>318</v>
      </c>
      <c r="K176" s="1">
        <f t="shared" si="43"/>
        <v>196</v>
      </c>
      <c r="L176" s="3">
        <f t="shared" si="44"/>
        <v>93.61702127659575</v>
      </c>
      <c r="M176" s="1">
        <f t="shared" si="45"/>
        <v>148</v>
      </c>
      <c r="N176" s="6">
        <f t="shared" si="46"/>
        <v>1.8068181818181817E-2</v>
      </c>
      <c r="O176" s="1">
        <f t="shared" si="47"/>
        <v>175</v>
      </c>
      <c r="P176" s="1" t="s">
        <v>609</v>
      </c>
      <c r="Q176">
        <v>1981</v>
      </c>
      <c r="R176">
        <v>2026</v>
      </c>
    </row>
    <row r="177" spans="1:19" x14ac:dyDescent="0.2">
      <c r="A177" s="2" t="s">
        <v>8</v>
      </c>
      <c r="B177" s="11">
        <v>2968401</v>
      </c>
      <c r="C177" s="1">
        <f t="shared" si="40"/>
        <v>6</v>
      </c>
      <c r="D177" s="1">
        <v>27978000</v>
      </c>
      <c r="E177" s="1">
        <f t="shared" si="41"/>
        <v>53</v>
      </c>
      <c r="F177" s="12" t="s">
        <v>533</v>
      </c>
      <c r="G177">
        <v>1901</v>
      </c>
      <c r="H177" s="1">
        <f t="shared" si="42"/>
        <v>150</v>
      </c>
      <c r="I177" t="s">
        <v>199</v>
      </c>
      <c r="J177" s="4">
        <v>473855</v>
      </c>
      <c r="K177" s="1">
        <f t="shared" si="43"/>
        <v>132</v>
      </c>
      <c r="L177" s="3">
        <f t="shared" si="44"/>
        <v>9.4252764367078434</v>
      </c>
      <c r="M177" s="1">
        <f t="shared" si="45"/>
        <v>195</v>
      </c>
      <c r="N177" s="6">
        <f t="shared" si="46"/>
        <v>1.693670026449353E-2</v>
      </c>
      <c r="O177" s="1">
        <f t="shared" si="47"/>
        <v>176</v>
      </c>
      <c r="P177" s="1" t="s">
        <v>609</v>
      </c>
      <c r="Q177">
        <v>1901</v>
      </c>
      <c r="R177">
        <v>2026</v>
      </c>
    </row>
    <row r="178" spans="1:19" x14ac:dyDescent="0.2">
      <c r="A178" s="2" t="s">
        <v>126</v>
      </c>
      <c r="B178" s="11">
        <v>134240</v>
      </c>
      <c r="C178" s="1">
        <f t="shared" si="40"/>
        <v>64</v>
      </c>
      <c r="D178" s="1">
        <v>113863000</v>
      </c>
      <c r="E178" s="1">
        <f t="shared" si="41"/>
        <v>12</v>
      </c>
      <c r="F178" s="12" t="s">
        <v>534</v>
      </c>
      <c r="G178">
        <v>1946</v>
      </c>
      <c r="H178" s="1">
        <f t="shared" si="42"/>
        <v>127</v>
      </c>
      <c r="I178" t="s">
        <v>341</v>
      </c>
      <c r="J178" s="4">
        <v>1902590</v>
      </c>
      <c r="K178" s="1">
        <f t="shared" si="43"/>
        <v>55</v>
      </c>
      <c r="L178" s="3">
        <f t="shared" si="44"/>
        <v>848.20470798569727</v>
      </c>
      <c r="M178" s="1">
        <f t="shared" si="45"/>
        <v>26</v>
      </c>
      <c r="N178" s="6">
        <f t="shared" si="46"/>
        <v>1.6709466639733717E-2</v>
      </c>
      <c r="O178" s="1">
        <f t="shared" si="47"/>
        <v>177</v>
      </c>
      <c r="P178" s="1" t="s">
        <v>605</v>
      </c>
      <c r="Q178">
        <v>1946</v>
      </c>
      <c r="R178">
        <v>2026</v>
      </c>
    </row>
    <row r="179" spans="1:19" x14ac:dyDescent="0.2">
      <c r="A179" s="2" t="s">
        <v>108</v>
      </c>
      <c r="B179" s="11">
        <v>261219</v>
      </c>
      <c r="C179" s="1">
        <f t="shared" si="40"/>
        <v>39</v>
      </c>
      <c r="D179" s="1">
        <v>57940000</v>
      </c>
      <c r="E179" s="1">
        <f t="shared" si="41"/>
        <v>26</v>
      </c>
      <c r="F179" s="12" t="s">
        <v>535</v>
      </c>
      <c r="G179">
        <v>1948</v>
      </c>
      <c r="H179" s="1">
        <f t="shared" si="42"/>
        <v>120</v>
      </c>
      <c r="I179" t="s">
        <v>323</v>
      </c>
      <c r="J179" s="4">
        <v>924608</v>
      </c>
      <c r="K179" s="1">
        <f t="shared" si="43"/>
        <v>99</v>
      </c>
      <c r="L179" s="3">
        <f t="shared" si="44"/>
        <v>221.80622389642409</v>
      </c>
      <c r="M179" s="1">
        <f t="shared" si="45"/>
        <v>101</v>
      </c>
      <c r="N179" s="6">
        <f t="shared" si="46"/>
        <v>1.595802554366586E-2</v>
      </c>
      <c r="O179" s="1">
        <f t="shared" si="47"/>
        <v>178</v>
      </c>
      <c r="P179" s="1" t="s">
        <v>605</v>
      </c>
      <c r="Q179">
        <v>1948</v>
      </c>
      <c r="R179">
        <v>2026</v>
      </c>
      <c r="S179" t="s">
        <v>322</v>
      </c>
    </row>
    <row r="180" spans="1:19" x14ac:dyDescent="0.2">
      <c r="A180" s="2" t="s">
        <v>15</v>
      </c>
      <c r="B180" s="11">
        <v>11909</v>
      </c>
      <c r="C180" s="1">
        <f t="shared" si="40"/>
        <v>137</v>
      </c>
      <c r="D180" s="1">
        <v>11863000</v>
      </c>
      <c r="E180" s="1">
        <f t="shared" si="41"/>
        <v>84</v>
      </c>
      <c r="F180" s="12" t="s">
        <v>549</v>
      </c>
      <c r="G180">
        <v>1830</v>
      </c>
      <c r="H180" s="1">
        <f t="shared" si="42"/>
        <v>167</v>
      </c>
      <c r="I180" t="s">
        <v>208</v>
      </c>
      <c r="J180" s="4">
        <v>188737</v>
      </c>
      <c r="K180" s="1">
        <f t="shared" si="43"/>
        <v>152</v>
      </c>
      <c r="L180" s="3">
        <f t="shared" si="44"/>
        <v>996.13737509446639</v>
      </c>
      <c r="M180" s="1">
        <f t="shared" si="45"/>
        <v>22</v>
      </c>
      <c r="N180" s="6">
        <f t="shared" si="46"/>
        <v>1.590971929528787E-2</v>
      </c>
      <c r="O180" s="1">
        <f t="shared" si="47"/>
        <v>179</v>
      </c>
      <c r="P180" s="1" t="s">
        <v>606</v>
      </c>
      <c r="Q180">
        <v>1830</v>
      </c>
      <c r="R180">
        <v>2026</v>
      </c>
    </row>
    <row r="181" spans="1:19" x14ac:dyDescent="0.2">
      <c r="A181" s="2" t="s">
        <v>33</v>
      </c>
      <c r="B181" s="11">
        <v>3696116</v>
      </c>
      <c r="C181" s="1">
        <f t="shared" si="40"/>
        <v>4</v>
      </c>
      <c r="D181" s="1">
        <v>1408671000</v>
      </c>
      <c r="E181" s="1">
        <f t="shared" si="41"/>
        <v>1</v>
      </c>
      <c r="F181" s="12" t="s">
        <v>591</v>
      </c>
      <c r="G181">
        <v>-221</v>
      </c>
      <c r="H181" s="1">
        <f t="shared" si="42"/>
        <v>195</v>
      </c>
      <c r="I181" t="s">
        <v>230</v>
      </c>
      <c r="J181" s="4">
        <v>21893095</v>
      </c>
      <c r="K181" s="1">
        <f t="shared" si="43"/>
        <v>1</v>
      </c>
      <c r="L181" s="3">
        <f t="shared" si="44"/>
        <v>381.12196695125368</v>
      </c>
      <c r="M181" s="1">
        <f t="shared" si="45"/>
        <v>63</v>
      </c>
      <c r="N181" s="6">
        <f t="shared" si="46"/>
        <v>1.5541666577930546E-2</v>
      </c>
      <c r="O181" s="1">
        <f t="shared" si="47"/>
        <v>180</v>
      </c>
      <c r="P181" s="1" t="s">
        <v>605</v>
      </c>
      <c r="Q181">
        <v>-221</v>
      </c>
      <c r="R181">
        <v>2026</v>
      </c>
    </row>
    <row r="182" spans="1:19" x14ac:dyDescent="0.2">
      <c r="A182" s="2" t="s">
        <v>157</v>
      </c>
      <c r="B182" s="11">
        <v>15943</v>
      </c>
      <c r="C182" s="1">
        <f t="shared" si="40"/>
        <v>131</v>
      </c>
      <c r="D182" s="1">
        <v>9127000</v>
      </c>
      <c r="E182" s="1">
        <f t="shared" si="41"/>
        <v>99</v>
      </c>
      <c r="F182" s="12" t="s">
        <v>550</v>
      </c>
      <c r="G182">
        <v>1648</v>
      </c>
      <c r="H182" s="1">
        <f t="shared" si="42"/>
        <v>185</v>
      </c>
      <c r="I182" t="s">
        <v>370</v>
      </c>
      <c r="J182" s="4">
        <v>134794</v>
      </c>
      <c r="K182" s="1">
        <f t="shared" si="43"/>
        <v>159</v>
      </c>
      <c r="L182" s="3">
        <f t="shared" si="44"/>
        <v>572.47694913128021</v>
      </c>
      <c r="M182" s="1">
        <f t="shared" si="45"/>
        <v>47</v>
      </c>
      <c r="N182" s="6">
        <f t="shared" si="46"/>
        <v>1.4768708228333515E-2</v>
      </c>
      <c r="O182" s="1">
        <f t="shared" si="47"/>
        <v>181</v>
      </c>
      <c r="P182" s="1" t="s">
        <v>606</v>
      </c>
      <c r="Q182">
        <v>1648</v>
      </c>
      <c r="R182">
        <v>2026</v>
      </c>
    </row>
    <row r="183" spans="1:19" x14ac:dyDescent="0.2">
      <c r="A183" s="2" t="s">
        <v>22</v>
      </c>
      <c r="B183" s="11">
        <v>3285890</v>
      </c>
      <c r="C183" s="1">
        <f t="shared" si="40"/>
        <v>5</v>
      </c>
      <c r="D183" s="1">
        <v>206296000</v>
      </c>
      <c r="E183" s="1">
        <f t="shared" si="41"/>
        <v>7</v>
      </c>
      <c r="F183" s="12" t="s">
        <v>551</v>
      </c>
      <c r="G183">
        <v>1822</v>
      </c>
      <c r="H183" s="1">
        <f t="shared" si="42"/>
        <v>174</v>
      </c>
      <c r="I183" t="s">
        <v>216</v>
      </c>
      <c r="J183" s="4">
        <v>2982818</v>
      </c>
      <c r="K183" s="1">
        <f t="shared" si="43"/>
        <v>37</v>
      </c>
      <c r="L183" s="3">
        <f t="shared" si="44"/>
        <v>62.782381637851543</v>
      </c>
      <c r="M183" s="1">
        <f t="shared" si="45"/>
        <v>164</v>
      </c>
      <c r="N183" s="6">
        <f t="shared" si="46"/>
        <v>1.4458923100787219E-2</v>
      </c>
      <c r="O183" s="1">
        <f t="shared" si="47"/>
        <v>182</v>
      </c>
      <c r="P183" s="1" t="s">
        <v>610</v>
      </c>
      <c r="Q183">
        <v>1822</v>
      </c>
      <c r="R183">
        <v>2026</v>
      </c>
    </row>
    <row r="184" spans="1:19" x14ac:dyDescent="0.2">
      <c r="A184" s="2" t="s">
        <v>185</v>
      </c>
      <c r="B184" s="11">
        <v>160835</v>
      </c>
      <c r="C184" s="1">
        <f t="shared" si="40"/>
        <v>58</v>
      </c>
      <c r="D184" s="1">
        <v>37137000</v>
      </c>
      <c r="E184" s="1">
        <f t="shared" si="41"/>
        <v>40</v>
      </c>
      <c r="F184" s="12" t="s">
        <v>536</v>
      </c>
      <c r="G184">
        <v>1956</v>
      </c>
      <c r="H184" s="1">
        <f t="shared" si="42"/>
        <v>111</v>
      </c>
      <c r="I184" t="s">
        <v>320</v>
      </c>
      <c r="J184" s="4">
        <v>515619</v>
      </c>
      <c r="K184" s="1">
        <f t="shared" si="43"/>
        <v>128</v>
      </c>
      <c r="L184" s="3">
        <f t="shared" si="44"/>
        <v>230.90123418410172</v>
      </c>
      <c r="M184" s="1">
        <f t="shared" si="45"/>
        <v>97</v>
      </c>
      <c r="N184" s="6">
        <f t="shared" si="46"/>
        <v>1.3884239437757493E-2</v>
      </c>
      <c r="O184" s="1">
        <f t="shared" si="47"/>
        <v>183</v>
      </c>
      <c r="P184" s="1" t="s">
        <v>608</v>
      </c>
      <c r="Q184">
        <v>1956</v>
      </c>
      <c r="R184">
        <v>2026</v>
      </c>
    </row>
    <row r="185" spans="1:19" x14ac:dyDescent="0.2">
      <c r="A185" s="2" t="s">
        <v>234</v>
      </c>
      <c r="B185" s="11">
        <v>128364</v>
      </c>
      <c r="C185" s="1">
        <f t="shared" si="40"/>
        <v>67</v>
      </c>
      <c r="D185" s="1">
        <v>33180000</v>
      </c>
      <c r="E185" s="1">
        <f t="shared" si="41"/>
        <v>50</v>
      </c>
      <c r="F185" s="12" t="s">
        <v>537</v>
      </c>
      <c r="G185">
        <v>1960</v>
      </c>
      <c r="H185" s="1">
        <f t="shared" si="42"/>
        <v>92</v>
      </c>
      <c r="I185" t="s">
        <v>235</v>
      </c>
      <c r="J185" s="4">
        <v>422072</v>
      </c>
      <c r="K185" s="1">
        <f t="shared" si="43"/>
        <v>136</v>
      </c>
      <c r="L185" s="3">
        <f t="shared" si="44"/>
        <v>258.48368701505098</v>
      </c>
      <c r="M185" s="1">
        <f t="shared" si="45"/>
        <v>89</v>
      </c>
      <c r="N185" s="6">
        <f t="shared" si="46"/>
        <v>1.2720675105485232E-2</v>
      </c>
      <c r="O185" s="1">
        <f t="shared" si="47"/>
        <v>184</v>
      </c>
      <c r="P185" s="1" t="s">
        <v>608</v>
      </c>
      <c r="Q185">
        <v>1960</v>
      </c>
      <c r="R185">
        <v>2026</v>
      </c>
    </row>
    <row r="186" spans="1:19" x14ac:dyDescent="0.2">
      <c r="A186" s="2" t="s">
        <v>270</v>
      </c>
      <c r="B186" s="11">
        <v>4127</v>
      </c>
      <c r="C186" s="1">
        <f t="shared" si="40"/>
        <v>162</v>
      </c>
      <c r="D186" s="1">
        <v>2461000</v>
      </c>
      <c r="E186" s="1">
        <f t="shared" si="41"/>
        <v>142</v>
      </c>
      <c r="F186" s="12" t="s">
        <v>538</v>
      </c>
      <c r="G186">
        <v>1965</v>
      </c>
      <c r="H186" s="1">
        <f t="shared" si="42"/>
        <v>73</v>
      </c>
      <c r="I186" t="s">
        <v>284</v>
      </c>
      <c r="J186" s="4">
        <v>31301</v>
      </c>
      <c r="K186" s="1">
        <f t="shared" si="43"/>
        <v>176</v>
      </c>
      <c r="L186" s="3">
        <f t="shared" si="44"/>
        <v>596.3169372425491</v>
      </c>
      <c r="M186" s="1">
        <f t="shared" si="45"/>
        <v>45</v>
      </c>
      <c r="N186" s="6">
        <f t="shared" si="46"/>
        <v>1.2718813490451036E-2</v>
      </c>
      <c r="O186" s="1">
        <f t="shared" si="47"/>
        <v>185</v>
      </c>
      <c r="P186" s="1" t="s">
        <v>608</v>
      </c>
      <c r="Q186">
        <v>1965</v>
      </c>
      <c r="R186">
        <v>2026</v>
      </c>
    </row>
    <row r="187" spans="1:19" x14ac:dyDescent="0.2">
      <c r="A187" s="2" t="s">
        <v>149</v>
      </c>
      <c r="B187" s="11">
        <v>471358</v>
      </c>
      <c r="C187" s="1">
        <f t="shared" si="40"/>
        <v>24</v>
      </c>
      <c r="D187" s="1">
        <v>63430000</v>
      </c>
      <c r="E187" s="1">
        <f t="shared" si="41"/>
        <v>24</v>
      </c>
      <c r="F187" s="12" t="s">
        <v>539</v>
      </c>
      <c r="G187">
        <v>1931</v>
      </c>
      <c r="H187" s="1">
        <f t="shared" si="42"/>
        <v>136</v>
      </c>
      <c r="I187" t="s">
        <v>362</v>
      </c>
      <c r="J187" s="4">
        <v>741651</v>
      </c>
      <c r="K187" s="1">
        <f t="shared" si="43"/>
        <v>110</v>
      </c>
      <c r="L187" s="3">
        <f t="shared" si="44"/>
        <v>134.56862936451699</v>
      </c>
      <c r="M187" s="1">
        <f t="shared" si="45"/>
        <v>135</v>
      </c>
      <c r="N187" s="6">
        <f t="shared" si="46"/>
        <v>1.1692432602869304E-2</v>
      </c>
      <c r="O187" s="1">
        <f t="shared" si="47"/>
        <v>186</v>
      </c>
      <c r="P187" s="1" t="s">
        <v>608</v>
      </c>
      <c r="Q187">
        <v>1931</v>
      </c>
      <c r="R187">
        <v>2026</v>
      </c>
    </row>
    <row r="188" spans="1:19" x14ac:dyDescent="0.2">
      <c r="A188" s="2" t="s">
        <v>161</v>
      </c>
      <c r="B188" s="11">
        <v>365059</v>
      </c>
      <c r="C188" s="1">
        <f t="shared" si="40"/>
        <v>30</v>
      </c>
      <c r="D188" s="1">
        <v>67529000</v>
      </c>
      <c r="E188" s="1">
        <f t="shared" si="41"/>
        <v>21</v>
      </c>
      <c r="F188" s="12" t="s">
        <v>540</v>
      </c>
      <c r="G188">
        <v>1964</v>
      </c>
      <c r="H188" s="1">
        <f t="shared" si="42"/>
        <v>77</v>
      </c>
      <c r="I188" t="s">
        <v>375</v>
      </c>
      <c r="J188" s="4">
        <v>765179</v>
      </c>
      <c r="K188" s="1">
        <f t="shared" si="43"/>
        <v>106</v>
      </c>
      <c r="L188" s="3">
        <f t="shared" si="44"/>
        <v>184.98105785640129</v>
      </c>
      <c r="M188" s="1">
        <f t="shared" si="45"/>
        <v>113</v>
      </c>
      <c r="N188" s="6">
        <f t="shared" si="46"/>
        <v>1.1331117001584505E-2</v>
      </c>
      <c r="O188" s="1">
        <f t="shared" si="47"/>
        <v>187</v>
      </c>
      <c r="P188" s="1" t="s">
        <v>608</v>
      </c>
      <c r="Q188">
        <v>1964</v>
      </c>
      <c r="R188">
        <v>2026</v>
      </c>
    </row>
    <row r="189" spans="1:19" x14ac:dyDescent="0.2">
      <c r="A189" s="2" t="s">
        <v>26</v>
      </c>
      <c r="B189" s="11">
        <v>10747</v>
      </c>
      <c r="C189" s="1">
        <f t="shared" si="40"/>
        <v>143</v>
      </c>
      <c r="D189" s="1">
        <v>13605000</v>
      </c>
      <c r="E189" s="1">
        <f t="shared" si="41"/>
        <v>80</v>
      </c>
      <c r="F189" s="12" t="s">
        <v>475</v>
      </c>
      <c r="G189">
        <v>1962</v>
      </c>
      <c r="H189" s="1">
        <f t="shared" si="42"/>
        <v>84</v>
      </c>
      <c r="I189" t="s">
        <v>221</v>
      </c>
      <c r="J189" s="4">
        <v>135467</v>
      </c>
      <c r="K189" s="1">
        <f t="shared" si="43"/>
        <v>158</v>
      </c>
      <c r="L189" s="3">
        <f t="shared" si="44"/>
        <v>1265.9346794454266</v>
      </c>
      <c r="M189" s="1">
        <f t="shared" si="45"/>
        <v>16</v>
      </c>
      <c r="N189" s="6">
        <f t="shared" si="46"/>
        <v>9.957148107313487E-3</v>
      </c>
      <c r="O189" s="1">
        <f t="shared" si="47"/>
        <v>188</v>
      </c>
      <c r="P189" s="1" t="s">
        <v>608</v>
      </c>
      <c r="Q189">
        <v>1962</v>
      </c>
      <c r="R189">
        <v>2026</v>
      </c>
    </row>
    <row r="190" spans="1:19" x14ac:dyDescent="0.2">
      <c r="A190" s="2" t="s">
        <v>98</v>
      </c>
      <c r="B190" s="11">
        <v>122</v>
      </c>
      <c r="C190" s="1">
        <f t="shared" si="40"/>
        <v>187</v>
      </c>
      <c r="D190" s="1">
        <v>569900</v>
      </c>
      <c r="E190" s="1">
        <f t="shared" si="41"/>
        <v>167</v>
      </c>
      <c r="F190" s="12" t="s">
        <v>541</v>
      </c>
      <c r="G190">
        <v>1964</v>
      </c>
      <c r="H190" s="1">
        <f t="shared" si="42"/>
        <v>77</v>
      </c>
      <c r="I190" t="s">
        <v>312</v>
      </c>
      <c r="J190" s="4">
        <v>5157</v>
      </c>
      <c r="K190" s="1">
        <f t="shared" si="43"/>
        <v>190</v>
      </c>
      <c r="L190" s="3">
        <f t="shared" si="44"/>
        <v>4671.311475409836</v>
      </c>
      <c r="M190" s="1">
        <f t="shared" si="45"/>
        <v>5</v>
      </c>
      <c r="N190" s="6">
        <f t="shared" si="46"/>
        <v>9.0489559571854707E-3</v>
      </c>
      <c r="O190" s="1">
        <f t="shared" si="47"/>
        <v>189</v>
      </c>
      <c r="P190" s="1" t="s">
        <v>606</v>
      </c>
      <c r="Q190">
        <v>1964</v>
      </c>
      <c r="R190">
        <v>2026</v>
      </c>
    </row>
    <row r="191" spans="1:19" x14ac:dyDescent="0.2">
      <c r="A191" s="2" t="s">
        <v>58</v>
      </c>
      <c r="B191" s="11">
        <v>92098</v>
      </c>
      <c r="C191" s="1">
        <f t="shared" si="40"/>
        <v>80</v>
      </c>
      <c r="D191" s="1">
        <v>33512000</v>
      </c>
      <c r="E191" s="1">
        <f t="shared" si="41"/>
        <v>48</v>
      </c>
      <c r="F191" s="12" t="s">
        <v>542</v>
      </c>
      <c r="G191">
        <v>1957</v>
      </c>
      <c r="H191" s="1">
        <f t="shared" si="42"/>
        <v>110</v>
      </c>
      <c r="I191" t="s">
        <v>262</v>
      </c>
      <c r="J191" s="4">
        <v>284124</v>
      </c>
      <c r="K191" s="1">
        <f t="shared" si="43"/>
        <v>142</v>
      </c>
      <c r="L191" s="3">
        <f t="shared" si="44"/>
        <v>363.8732654346457</v>
      </c>
      <c r="M191" s="1">
        <f t="shared" si="45"/>
        <v>66</v>
      </c>
      <c r="N191" s="6">
        <f t="shared" si="46"/>
        <v>8.4782764382907612E-3</v>
      </c>
      <c r="O191" s="1">
        <f t="shared" si="47"/>
        <v>190</v>
      </c>
      <c r="P191" s="1" t="s">
        <v>608</v>
      </c>
      <c r="Q191">
        <v>1957</v>
      </c>
      <c r="R191">
        <v>2026</v>
      </c>
    </row>
    <row r="192" spans="1:19" x14ac:dyDescent="0.2">
      <c r="A192" s="2" t="s">
        <v>116</v>
      </c>
      <c r="B192" s="11">
        <v>356669</v>
      </c>
      <c r="C192" s="1">
        <f t="shared" si="40"/>
        <v>31</v>
      </c>
      <c r="D192" s="1">
        <v>233560000</v>
      </c>
      <c r="E192" s="1">
        <f t="shared" si="41"/>
        <v>6</v>
      </c>
      <c r="F192" s="12" t="s">
        <v>543</v>
      </c>
      <c r="G192">
        <v>1960</v>
      </c>
      <c r="H192" s="1">
        <f t="shared" si="42"/>
        <v>92</v>
      </c>
      <c r="I192" t="s">
        <v>330</v>
      </c>
      <c r="J192" s="4">
        <v>1693400</v>
      </c>
      <c r="K192" s="1">
        <f t="shared" si="43"/>
        <v>63</v>
      </c>
      <c r="L192" s="3">
        <f t="shared" si="44"/>
        <v>654.8368375160162</v>
      </c>
      <c r="M192" s="1">
        <f t="shared" si="45"/>
        <v>39</v>
      </c>
      <c r="N192" s="6">
        <f t="shared" si="46"/>
        <v>7.2503853399554716E-3</v>
      </c>
      <c r="O192" s="1">
        <f t="shared" si="47"/>
        <v>191</v>
      </c>
      <c r="P192" s="1" t="s">
        <v>608</v>
      </c>
      <c r="Q192">
        <v>1960</v>
      </c>
      <c r="R192">
        <v>2026</v>
      </c>
    </row>
    <row r="193" spans="1:19" x14ac:dyDescent="0.2">
      <c r="A193" s="2" t="s">
        <v>153</v>
      </c>
      <c r="B193" s="11">
        <v>25332</v>
      </c>
      <c r="C193" s="1">
        <f t="shared" si="40"/>
        <v>120</v>
      </c>
      <c r="D193" s="1">
        <v>21751000</v>
      </c>
      <c r="E193" s="1">
        <f t="shared" si="41"/>
        <v>61</v>
      </c>
      <c r="F193" s="12" t="s">
        <v>544</v>
      </c>
      <c r="G193">
        <v>1948</v>
      </c>
      <c r="H193" s="1">
        <f t="shared" si="42"/>
        <v>120</v>
      </c>
      <c r="I193" t="s">
        <v>366</v>
      </c>
      <c r="J193" s="4">
        <v>107925</v>
      </c>
      <c r="K193" s="1">
        <f t="shared" si="43"/>
        <v>164</v>
      </c>
      <c r="L193" s="3">
        <f t="shared" si="44"/>
        <v>858.63729669982627</v>
      </c>
      <c r="M193" s="1">
        <f t="shared" si="45"/>
        <v>25</v>
      </c>
      <c r="N193" s="6">
        <f t="shared" si="46"/>
        <v>4.9618408349041427E-3</v>
      </c>
      <c r="O193" s="1">
        <f t="shared" si="47"/>
        <v>192</v>
      </c>
      <c r="P193" s="1" t="s">
        <v>605</v>
      </c>
      <c r="Q193">
        <v>1948</v>
      </c>
      <c r="R193">
        <v>2026</v>
      </c>
      <c r="S193" t="s">
        <v>374</v>
      </c>
    </row>
    <row r="194" spans="1:19" x14ac:dyDescent="0.2">
      <c r="A194" s="2" t="s">
        <v>120</v>
      </c>
      <c r="B194" s="11">
        <v>307374</v>
      </c>
      <c r="C194" s="1">
        <f>RANK(B194,B$2:B$197)</f>
        <v>35</v>
      </c>
      <c r="D194" s="1">
        <v>255749000</v>
      </c>
      <c r="E194" s="1">
        <f>RANK(D194,D$2:D$197)</f>
        <v>5</v>
      </c>
      <c r="F194" s="12" t="s">
        <v>545</v>
      </c>
      <c r="G194">
        <v>1947</v>
      </c>
      <c r="H194" s="1">
        <f>RANK(G194,G$2:G$197)</f>
        <v>126</v>
      </c>
      <c r="I194" t="s">
        <v>335</v>
      </c>
      <c r="J194" s="4">
        <v>1108872</v>
      </c>
      <c r="K194" s="1">
        <f>RANK(J194,J$2:J$197)</f>
        <v>86</v>
      </c>
      <c r="L194" s="3">
        <f t="shared" si="44"/>
        <v>832.0450005530721</v>
      </c>
      <c r="M194" s="1">
        <f>RANK(L194,L$2:L$197)</f>
        <v>28</v>
      </c>
      <c r="N194" s="6">
        <f t="shared" si="46"/>
        <v>4.3357823491000941E-3</v>
      </c>
      <c r="O194" s="1">
        <f>RANK(N194,N$2:N$197)</f>
        <v>193</v>
      </c>
      <c r="P194" s="1" t="s">
        <v>605</v>
      </c>
      <c r="Q194">
        <v>1947</v>
      </c>
      <c r="R194">
        <v>2026</v>
      </c>
    </row>
    <row r="195" spans="1:19" x14ac:dyDescent="0.2">
      <c r="A195" s="2" t="s">
        <v>389</v>
      </c>
      <c r="B195" s="11">
        <v>3809525</v>
      </c>
      <c r="C195" s="1">
        <f>RANK(B195,B$2:B$197)</f>
        <v>3</v>
      </c>
      <c r="D195" s="1">
        <v>343969000</v>
      </c>
      <c r="E195" s="1">
        <f>RANK(D195,D$2:D$197)</f>
        <v>3</v>
      </c>
      <c r="F195" s="12" t="s">
        <v>548</v>
      </c>
      <c r="G195">
        <v>1776</v>
      </c>
      <c r="H195" s="1">
        <f>RANK(G195,G$2:G$197)</f>
        <v>183</v>
      </c>
      <c r="I195" t="s">
        <v>390</v>
      </c>
      <c r="J195" s="4">
        <v>689545</v>
      </c>
      <c r="K195" s="1">
        <f>RANK(J195,J$2:J$197)</f>
        <v>116</v>
      </c>
      <c r="L195" s="3">
        <f t="shared" si="44"/>
        <v>90.291834283801791</v>
      </c>
      <c r="M195" s="1">
        <f>RANK(L195,L$2:L$197)</f>
        <v>149</v>
      </c>
      <c r="N195" s="6">
        <f t="shared" si="46"/>
        <v>2.0046719326450931E-3</v>
      </c>
      <c r="O195" s="1">
        <f>RANK(N195,N$2:N$197)</f>
        <v>194</v>
      </c>
      <c r="P195" s="1" t="s">
        <v>607</v>
      </c>
      <c r="Q195">
        <v>1776</v>
      </c>
      <c r="R195">
        <v>2026</v>
      </c>
    </row>
    <row r="196" spans="1:19" x14ac:dyDescent="0.2">
      <c r="A196" s="2" t="s">
        <v>49</v>
      </c>
      <c r="B196" s="11">
        <v>10831</v>
      </c>
      <c r="C196" s="1">
        <f>RANK(B196,B$2:B$197)</f>
        <v>142</v>
      </c>
      <c r="D196" s="1">
        <v>1728000</v>
      </c>
      <c r="E196" s="1">
        <f>RANK(D196,D$2:D$197)</f>
        <v>149</v>
      </c>
      <c r="F196" s="12" t="s">
        <v>546</v>
      </c>
      <c r="G196">
        <v>1968</v>
      </c>
      <c r="H196" s="1">
        <f>RANK(G196,G$2:G$197)</f>
        <v>64</v>
      </c>
      <c r="I196" t="s">
        <v>250</v>
      </c>
      <c r="J196" s="4">
        <v>2000</v>
      </c>
      <c r="K196" s="1">
        <f>RANK(J196,J$2:J$197)</f>
        <v>192</v>
      </c>
      <c r="L196" s="3">
        <f t="shared" si="44"/>
        <v>159.54205521189178</v>
      </c>
      <c r="M196" s="1">
        <f>RANK(L196,L$2:L$197)</f>
        <v>123</v>
      </c>
      <c r="N196" s="6">
        <f t="shared" si="46"/>
        <v>1.1574074074074073E-3</v>
      </c>
      <c r="O196" s="1">
        <f>RANK(N196,N$2:N$197)</f>
        <v>195</v>
      </c>
      <c r="P196" s="1" t="s">
        <v>608</v>
      </c>
      <c r="Q196">
        <v>1968</v>
      </c>
      <c r="R196">
        <v>2026</v>
      </c>
    </row>
    <row r="197" spans="1:19" x14ac:dyDescent="0.2">
      <c r="A197" s="2" t="s">
        <v>69</v>
      </c>
      <c r="B197" s="11">
        <v>1269219</v>
      </c>
      <c r="C197" s="1">
        <f>RANK(B197,B$2:B$197)</f>
        <v>7</v>
      </c>
      <c r="D197" s="1">
        <v>1398885000</v>
      </c>
      <c r="E197" s="1">
        <f>RANK(D197,D$2:D$197)</f>
        <v>2</v>
      </c>
      <c r="F197" s="12" t="s">
        <v>547</v>
      </c>
      <c r="G197">
        <v>1950</v>
      </c>
      <c r="H197" s="1">
        <f>RANK(G197,G$2:G$197)</f>
        <v>118</v>
      </c>
      <c r="I197" t="s">
        <v>277</v>
      </c>
      <c r="J197" s="4">
        <v>249998</v>
      </c>
      <c r="K197" s="1">
        <f>RANK(J197,J$2:J$197)</f>
        <v>147</v>
      </c>
      <c r="L197" s="3">
        <f t="shared" si="44"/>
        <v>1102.162038229809</v>
      </c>
      <c r="M197" s="1">
        <f>RANK(L197,L$2:L$197)</f>
        <v>20</v>
      </c>
      <c r="N197" s="6">
        <f t="shared" si="46"/>
        <v>1.787123316069584E-4</v>
      </c>
      <c r="O197" s="1">
        <f>RANK(N197,N$2:N$197)</f>
        <v>196</v>
      </c>
      <c r="P197" s="1" t="s">
        <v>605</v>
      </c>
      <c r="Q197">
        <v>1950</v>
      </c>
      <c r="R197">
        <v>2026</v>
      </c>
    </row>
    <row r="205" spans="1:19" x14ac:dyDescent="0.2">
      <c r="L205" s="13"/>
    </row>
  </sheetData>
  <phoneticPr fontId="10" type="noConversion"/>
  <conditionalFormatting sqref="C2:C197"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2:E197">
    <cfRule type="colorScale" priority="24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:E197"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:G197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4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2:H197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:J197">
    <cfRule type="colorScale" priority="24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:K197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2:L197">
    <cfRule type="colorScale" priority="25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2:M197"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N2:N197">
    <cfRule type="colorScale" priority="25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O2:P197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Q2:Q197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hyperlinks>
    <hyperlink ref="A76" r:id="rId1" display="https://www.britannica.com/place/Afghanistan" xr:uid="{C10A6CC6-ADE2-8D42-86AF-761735AE7B4A}"/>
    <hyperlink ref="A53" r:id="rId2" display="https://www.britannica.com/place/Albania" xr:uid="{2FB0F4DF-4E19-7B4A-8986-B7EE1D63E682}"/>
    <hyperlink ref="A124" r:id="rId3" display="https://www.britannica.com/place/Algeria" xr:uid="{6022328E-2495-824E-8F30-4D6F777F579C}"/>
    <hyperlink ref="A40" r:id="rId4" display="https://www.britannica.com/place/Andorra" xr:uid="{3F254D67-9E8C-DF41-9DE6-3A2BE5808B25}"/>
    <hyperlink ref="A41" r:id="rId5" display="https://www.britannica.com/place/Angola" xr:uid="{4664F8CA-E418-DF44-A065-19445DFE6C67}"/>
    <hyperlink ref="A47" r:id="rId6" display="https://www.britannica.com/place/Antigua-and-Barbuda" xr:uid="{DC345616-A0E6-A745-8350-FD4DFF579944}"/>
    <hyperlink ref="A146" r:id="rId7" display="https://www.britannica.com/place/Argentina" xr:uid="{0B3513B7-44FD-9F40-B02A-883718167CE5}"/>
    <hyperlink ref="A14" r:id="rId8" display="https://www.britannica.com/place/Armenia" xr:uid="{83EEEB91-C6D8-9841-B482-43EABEDAFD33}"/>
    <hyperlink ref="A177" r:id="rId9" display="https://www.britannica.com/place/Australia" xr:uid="{A87B9206-84BE-7F4B-9686-A8B62B2D0A0D}"/>
    <hyperlink ref="A46" r:id="rId10" display="https://www.britannica.com/place/Austria" xr:uid="{409C89D3-424B-224E-A970-8B566CD97F8D}"/>
    <hyperlink ref="A44" r:id="rId11" display="https://www.britannica.com/place/Azerbaijan" xr:uid="{CA1D383C-C1CE-B444-8334-095FC7BE7D11}"/>
    <hyperlink ref="A11" r:id="rId12" display="https://www.britannica.com/place/Bahrain" xr:uid="{1BA37FC9-9C90-034F-A894-A82000388D2F}"/>
    <hyperlink ref="A150" r:id="rId13" display="https://www.britannica.com/place/Bangladesh" xr:uid="{A45C93F0-2C12-034A-8126-F64805ECD53E}"/>
    <hyperlink ref="A12" r:id="rId14" display="https://www.britannica.com/place/Barbados" xr:uid="{60FAADCC-04CB-E543-8E3B-4D8629FBFCD1}"/>
    <hyperlink ref="A45" r:id="rId15" display="https://www.britannica.com/place/Belarus" xr:uid="{4F9C423C-797D-A74A-B785-7925B4B55BF6}"/>
    <hyperlink ref="A180" r:id="rId16" display="https://www.britannica.com/place/Belgium" xr:uid="{5D66ECD6-761F-2746-A207-DAF8667278E2}"/>
    <hyperlink ref="A143" r:id="rId17" display="https://www.britannica.com/place/Belize" xr:uid="{7BD2ADDA-B701-4B4D-A04D-C5AAEB418DB2}"/>
    <hyperlink ref="A175" r:id="rId18" display="https://www.britannica.com/place/Benin" xr:uid="{6E8CB724-5C0E-574C-B6F0-41385F958645}"/>
    <hyperlink ref="A77" r:id="rId19" display="https://www.britannica.com/place/Bhutan" xr:uid="{312FBA87-57FC-F648-95DF-B62D75B97158}"/>
    <hyperlink ref="A149" r:id="rId20" display="https://www.britannica.com/place/Bolivia" xr:uid="{0328D147-E7A8-D549-92C0-8D48DA44E341}"/>
    <hyperlink ref="A130" r:id="rId21" display="https://www.britannica.com/place/Bosnia-and-Herzegovina" xr:uid="{6F7D77C1-338B-5B45-8917-C49708403517}"/>
    <hyperlink ref="A115" r:id="rId22" display="https://www.britannica.com/place/Botswana" xr:uid="{C5199D1F-3F9C-7A40-9653-832C73B4A9B1}"/>
    <hyperlink ref="A183" r:id="rId23" display="https://www.britannica.com/place/Brazil" xr:uid="{2B7805F7-8C8F-214F-9BEC-2FA24ED1BC47}"/>
    <hyperlink ref="A68" r:id="rId24" display="https://www.britannica.com/place/Brunei" xr:uid="{AFAEA06A-A41A-C04E-8974-A8E061710FE6}"/>
    <hyperlink ref="A50" r:id="rId25" display="https://www.britannica.com/place/Bulgaria" xr:uid="{53CE3B92-19D8-1542-8DF9-04AD667A5F77}"/>
    <hyperlink ref="A114" r:id="rId26" display="https://www.britannica.com/place/Burkina-Faso" xr:uid="{26FA233E-48DB-6F45-BBA2-0C11E62D707E}"/>
    <hyperlink ref="A189" r:id="rId27" display="https://www.britannica.com/place/Burundi" xr:uid="{7BB5AB97-27BC-CC4B-936F-B3380B8F04E8}"/>
    <hyperlink ref="A24" r:id="rId28" display="https://www.britannica.com/place/Cabo-Verde" xr:uid="{4FDD3B67-472D-854F-BB94-99CB95B92F15}"/>
    <hyperlink ref="A84" r:id="rId29" display="https://www.britannica.com/place/Cambodia" xr:uid="{A9904B3E-85A3-CC4F-8CEE-8D896899244A}"/>
    <hyperlink ref="A83" r:id="rId30" display="https://www.britannica.com/place/Cameroon" xr:uid="{C4892E56-7F1D-9040-9D2E-492899ED5DA4}"/>
    <hyperlink ref="A174" r:id="rId31" display="https://www.britannica.com/place/Canada" xr:uid="{FD224A3B-7FAF-9A4B-814A-BC9FEA1A288B}"/>
    <hyperlink ref="A92" r:id="rId32" display="https://www.britannica.com/place/Central-African-Republic" xr:uid="{7F1D8061-DEDA-3F41-971F-5330CD11B7C1}"/>
    <hyperlink ref="A160" r:id="rId33" display="https://www.britannica.com/place/Chad" xr:uid="{F79185B3-085C-9044-A5A2-4D526F9F5231}"/>
    <hyperlink ref="A28" r:id="rId34" display="https://www.britannica.com/place/Chile" xr:uid="{FEE0E563-1119-7D4A-B4C4-EFAE8BDE894E}"/>
    <hyperlink ref="A181" r:id="rId35" display="https://www.britannica.com/place/China" xr:uid="{33D250FD-E94F-154C-B0ED-F638009C669A}"/>
    <hyperlink ref="A74" r:id="rId36" display="https://www.britannica.com/place/Colombia" xr:uid="{9BF7315A-A2A9-B64F-BF44-D0FAFA6B8B1C}"/>
    <hyperlink ref="A89" r:id="rId37" display="https://www.britannica.com/place/Comoros" xr:uid="{A5B683BB-5FD6-514E-861B-CCF4E1E7C93C}"/>
    <hyperlink ref="A142" r:id="rId38" display="https://www.britannica.com/place/Costa-Rica" xr:uid="{B748BA5D-07B8-E641-A5C3-858A9DD6486D}"/>
    <hyperlink ref="A185" r:id="rId39" display="https://www.britannica.com/place/Cote-dIvoire" xr:uid="{86DBFAC2-6C21-5943-8251-29B8253A7729}"/>
    <hyperlink ref="A51" r:id="rId40" display="https://www.britannica.com/place/Croatia" xr:uid="{795196E6-C8EB-AC41-91FA-83B446E8284F}"/>
    <hyperlink ref="A55" r:id="rId41" display="https://www.britannica.com/place/Cuba" xr:uid="{5F527923-7314-924E-9E0F-B217C95A58FA}"/>
    <hyperlink ref="A159" r:id="rId42" display="https://www.britannica.com/place/Cyprus" xr:uid="{5C35B548-0AB4-CE4A-AE9D-985170DD9B6A}"/>
    <hyperlink ref="A88" r:id="rId43" display="https://www.britannica.com/place/Czech-Republic" xr:uid="{640B0CF5-60FB-284D-BBE0-411208471CBD}"/>
    <hyperlink ref="A64" r:id="rId44" display="https://www.britannica.com/place/Democratic-Republic-of-the-Congo" xr:uid="{E63DB2E9-7E84-BF4F-9D27-27F0894CEC5A}"/>
    <hyperlink ref="A105" r:id="rId45" display="https://www.britannica.com/place/Denmark" xr:uid="{1DA998E0-C16B-9C4F-8577-B4B161BE5DCE}"/>
    <hyperlink ref="A5" r:id="rId46" display="https://www.britannica.com/place/Djibouti" xr:uid="{A2EEB530-40F2-EE4E-A338-A15AE96092C2}"/>
    <hyperlink ref="A43" r:id="rId47" display="https://www.britannica.com/place/Dominica" xr:uid="{9E54B1C0-71C5-C54B-9F3E-AB489AFA98CB}"/>
    <hyperlink ref="A123" r:id="rId48" display="https://www.britannica.com/place/Dominican-Republic" xr:uid="{7B9A0F5E-C82D-1743-B893-882A0838135F}"/>
    <hyperlink ref="A52" r:id="rId49" display="https://www.britannica.com/place/East-Timor" xr:uid="{F3AF1E23-9A79-5F4D-8839-6DEA560F731F}"/>
    <hyperlink ref="A113" r:id="rId50" display="https://www.britannica.com/place/Ecuador" xr:uid="{32A4C3FF-0E1C-2449-A312-01950085981D}"/>
    <hyperlink ref="A117" r:id="rId51" display="https://www.britannica.com/place/Egypt" xr:uid="{E87DB6D0-6924-3E46-95CE-0E166807B52D}"/>
    <hyperlink ref="A129" r:id="rId52" display="https://www.britannica.com/place/El-Salvador" xr:uid="{187533B6-C86B-0C47-BA78-589BD4D2C728}"/>
    <hyperlink ref="A196" r:id="rId53" display="https://www.britannica.com/place/Equatorial-Guinea" xr:uid="{04F62652-B9FA-304C-AAE0-A81F38EAFD80}"/>
    <hyperlink ref="A66" r:id="rId54" display="https://www.britannica.com/place/Eritrea" xr:uid="{C93AA3E3-509C-9B4B-8026-21131AB36648}"/>
    <hyperlink ref="A21" r:id="rId55" display="https://www.britannica.com/place/Estonia" xr:uid="{0A6DB49A-5608-0649-8279-442811FDBC67}"/>
    <hyperlink ref="A132" r:id="rId56" display="https://www.britannica.com/place/Eswatini" xr:uid="{19F0558D-519C-364A-AF4D-D270513F9330}"/>
    <hyperlink ref="A167" r:id="rId57" display="https://www.britannica.com/place/Ethiopia" xr:uid="{2C7F255A-30B1-3348-AB13-A30026C9EA0D}"/>
    <hyperlink ref="A104" r:id="rId58" display="https://www.britannica.com/place/Fiji-republic-Pacific-Ocean" xr:uid="{41FA9E9E-DAE9-B241-A104-CD7ADF3C3308}"/>
    <hyperlink ref="A93" r:id="rId59" display="https://www.britannica.com/place/Finland" xr:uid="{7EC83380-8530-5F41-86A5-3E25F6033A15}"/>
    <hyperlink ref="A171" r:id="rId60" display="https://www.britannica.com/place/France" xr:uid="{960D25D0-AC14-0A40-B65A-C907E7496C98}"/>
    <hyperlink ref="A36" r:id="rId61" display="https://www.britannica.com/place/Gabon" xr:uid="{9B1B1111-DFF5-5C41-8D4C-0190A9F2FEBD}"/>
    <hyperlink ref="A19" r:id="rId62" display="https://www.britannica.com/place/Georgia" xr:uid="{DD463B72-C525-6343-A4D8-9A50AF735DFA}"/>
    <hyperlink ref="A158" r:id="rId63" display="https://www.britannica.com/place/Germany" xr:uid="{0671C54D-1A12-A545-B0FA-415AA09C6A8F}"/>
    <hyperlink ref="A191" r:id="rId64" display="https://www.britannica.com/place/Ghana" xr:uid="{6A33D2CF-89FB-EF45-965B-D5284ABC0D00}"/>
    <hyperlink ref="A139" r:id="rId65" display="https://www.britannica.com/place/Greece" xr:uid="{55A6CC19-773C-324E-8F11-776C0DF2B1FD}"/>
    <hyperlink ref="A34" r:id="rId66" display="https://www.britannica.com/place/Grenada" xr:uid="{9C79E9F9-4DE5-CE48-A1D8-053B15D270F0}"/>
    <hyperlink ref="A136" r:id="rId67" display="https://www.britannica.com/place/Guatemala" xr:uid="{B93C4702-A56C-244E-8A9F-08D3589711B5}"/>
    <hyperlink ref="A100" r:id="rId68" display="https://www.britannica.com/place/Guinea" xr:uid="{20F27B32-AEA9-9E4C-BB78-439CD37BF9DC}"/>
    <hyperlink ref="A39" r:id="rId69" display="https://www.britannica.com/place/Guinea-Bissau" xr:uid="{904CDF52-E726-304D-824B-2EA8542146F0}"/>
    <hyperlink ref="A67" r:id="rId70" display="https://www.britannica.com/place/Guyana" xr:uid="{ECE4FE00-05C0-A140-960B-B8F6F3E317D0}"/>
    <hyperlink ref="A118" r:id="rId71" display="https://www.britannica.com/place/Haiti" xr:uid="{AAF10E0F-CF75-524A-9E9B-AA2D224A9021}"/>
    <hyperlink ref="A85" r:id="rId72" display="https://www.britannica.com/place/Honduras" xr:uid="{D00BF6F6-1322-F44B-A228-86F4263D862E}"/>
    <hyperlink ref="A60" r:id="rId73" display="https://www.britannica.com/place/Hungary" xr:uid="{D5122906-E307-A94C-B8C3-7A0A7270948B}"/>
    <hyperlink ref="A20" r:id="rId74" display="https://www.britannica.com/place/Iceland" xr:uid="{8447BD1C-20DD-6A47-AC05-B34C975B9CD1}"/>
    <hyperlink ref="A197" r:id="rId75" display="https://www.britannica.com/place/India" xr:uid="{0116EAB7-A5CE-544F-94D4-75730D72EC04}"/>
    <hyperlink ref="A166" r:id="rId76" display="https://www.britannica.com/place/Indonesia" xr:uid="{47602C15-4B39-8643-BE61-A305CF54669E}"/>
    <hyperlink ref="A112" r:id="rId77" display="https://www.britannica.com/place/Iran" xr:uid="{E868F808-5A30-5744-975F-BB19E18C10E7}"/>
    <hyperlink ref="A59" r:id="rId78" display="https://www.britannica.com/place/Iraq" xr:uid="{2A20B215-DAA8-9742-AEDD-A29902CC268F}"/>
    <hyperlink ref="A107" r:id="rId79" display="https://www.britannica.com/place/Ireland" xr:uid="{9AD9D867-F51E-E14F-824D-AB9BD0E38333}"/>
    <hyperlink ref="A106" r:id="rId80" display="https://www.britannica.com/place/Israel" xr:uid="{C9B57C5E-7D6D-CE45-AA36-EFC44EE637F9}"/>
    <hyperlink ref="A157" r:id="rId81" display="https://www.britannica.com/place/Italy" xr:uid="{1993E004-4D2F-8E40-B30B-93D4EDD8B97E}"/>
    <hyperlink ref="A42" r:id="rId82" display="https://www.britannica.com/place/Jamaica" xr:uid="{154BB51B-752F-5841-88D8-23B4E8844BF5}"/>
    <hyperlink ref="A98" r:id="rId83" display="https://www.britannica.com/place/Japan" xr:uid="{669DE70E-5430-5D46-A0E3-A937561DA7E6}"/>
    <hyperlink ref="A13" r:id="rId84" display="https://www.britannica.com/place/Jordan" xr:uid="{8C101049-9D16-4645-821B-278BA70C18E0}"/>
    <hyperlink ref="A131" r:id="rId85" display="https://www.britannica.com/place/Kazakhstan" xr:uid="{35EE2225-CEDC-1A44-9C2E-085C1C5A11F3}"/>
    <hyperlink ref="A102" r:id="rId86" display="https://www.britannica.com/place/Kenya" xr:uid="{222EFFD3-B7B1-7948-A2ED-66AB9753E9AB}"/>
    <hyperlink ref="A9" r:id="rId87" display="https://www.britannica.com/place/Kiribati" xr:uid="{A13DD40F-ECA4-9D4C-8FAE-F483A2583057}"/>
    <hyperlink ref="A78" r:id="rId88" display="https://www.britannica.com/place/Kosovo" xr:uid="{EFA773E4-E460-3F41-A109-5FF84C9813AE}"/>
    <hyperlink ref="A7" r:id="rId89" display="https://www.britannica.com/place/Kuwait" xr:uid="{1E78C8F8-4800-274E-B16C-6459AA29ADC1}"/>
    <hyperlink ref="A73" r:id="rId90" display="https://www.britannica.com/place/Kyrgyzstan" xr:uid="{6B9CB36D-2BF4-614A-8DB7-4D6E09C11BFB}"/>
    <hyperlink ref="A109" r:id="rId91" display="https://www.britannica.com/place/Laos" xr:uid="{13E5C798-7AE7-F34E-A780-66ADC3A1A511}"/>
    <hyperlink ref="A25" r:id="rId92" display="https://www.britannica.com/place/Latvia" xr:uid="{EB209CB6-7FEB-274B-86A2-17AA735EE892}"/>
    <hyperlink ref="A133" r:id="rId93" display="https://www.britannica.com/place/Lebanon" xr:uid="{35C5F1A3-1EC7-F54F-93FD-33C0997FC33F}"/>
    <hyperlink ref="A69" r:id="rId94" display="https://www.britannica.com/place/Lesotho" xr:uid="{E45C6F93-3E57-6F42-A30D-B7EF103AC509}"/>
    <hyperlink ref="A27" r:id="rId95" display="https://www.britannica.com/place/Liberia" xr:uid="{A75734DB-1F29-B847-9E3C-3CD7F453C1A1}"/>
    <hyperlink ref="A75" r:id="rId96" display="https://www.britannica.com/place/Libya" xr:uid="{0CFD9BB3-23B2-1343-885F-4A29B66CBAB3}"/>
    <hyperlink ref="A81" r:id="rId97" display="https://www.britannica.com/place/Liechtenstein" xr:uid="{0F2DD17A-6AAE-F644-A6ED-BE7E56ED5651}"/>
    <hyperlink ref="A49" r:id="rId98" display="https://www.britannica.com/place/Lithuania" xr:uid="{949DCA26-3562-F243-8866-8AB8E21E0399}"/>
    <hyperlink ref="A54" r:id="rId99" display="https://www.britannica.com/place/Luxembourg" xr:uid="{154E39AD-5A0E-9740-9F2C-B66D1B7731F5}"/>
    <hyperlink ref="A163" r:id="rId100" display="https://www.britannica.com/place/Madagascar" xr:uid="{EB0212FC-5BA7-D449-9D2F-E33FF68C9762}"/>
    <hyperlink ref="A156" r:id="rId101" display="https://www.britannica.com/place/Malawi" xr:uid="{CAF395D4-60A5-3E4C-B13E-E9D36A12929F}"/>
    <hyperlink ref="A148" r:id="rId102" display="https://www.britannica.com/place/Malaysia" xr:uid="{405A5F67-34BA-EA4C-91E9-8B7C092B9150}"/>
    <hyperlink ref="A16" r:id="rId103" display="https://www.britannica.com/place/Maldives" xr:uid="{63301A37-1307-EE49-BD93-706609A95509}"/>
    <hyperlink ref="A63" r:id="rId104" display="https://www.britannica.com/place/Mali" xr:uid="{5A89FE02-2E3A-4D42-81DD-3A500B1F3612}"/>
    <hyperlink ref="A190" r:id="rId105" display="https://www.britannica.com/place/Malta" xr:uid="{6CECD0AC-B624-9C46-BAAD-F8A9CE20E75A}"/>
    <hyperlink ref="A8" r:id="rId106" display="https://www.britannica.com/place/Marshall-Islands" xr:uid="{037E7876-E29D-2E49-9607-C97E346C7399}"/>
    <hyperlink ref="A29" r:id="rId107" display="https://www.britannica.com/place/Mauritania" xr:uid="{015DDA96-30E8-484E-9E08-330014E68352}"/>
    <hyperlink ref="A103" r:id="rId108" display="https://www.britannica.com/place/Mauritius" xr:uid="{37033B76-6BA9-A648-850F-DC8744F45C33}"/>
    <hyperlink ref="A140" r:id="rId109" display="https://www.britannica.com/place/Mexico" xr:uid="{371B0409-E04D-1D45-B28A-1CA9EC8E536F}"/>
    <hyperlink ref="A145" r:id="rId110" display="https://www.britannica.com/place/Micronesia-republic-Pacific-Ocean" xr:uid="{2664385F-554E-8C4C-A321-C737B287803C}"/>
    <hyperlink ref="A31" r:id="rId111" display="https://www.britannica.com/place/Moldova" xr:uid="{27EEBE83-69D7-4446-8CB2-68A0F5143EE5}"/>
    <hyperlink ref="A173" r:id="rId112" display="https://www.britannica.com/place/Monaco" xr:uid="{9D877AA1-EBA9-204A-99E6-431A2FCD845C}"/>
    <hyperlink ref="A10" r:id="rId113" display="https://www.britannica.com/place/Mongolia" xr:uid="{37111298-E744-5948-88D1-6A259BD98977}"/>
    <hyperlink ref="A38" r:id="rId114" display="https://www.britannica.com/place/Montenegro" xr:uid="{7B803273-EDE6-5C46-891F-C97DBBCB309C}"/>
    <hyperlink ref="A184" r:id="rId115" display="https://www.britannica.com/place/Morocco" xr:uid="{7DB71A49-9FF8-F242-8D33-852ADEF6AB69}"/>
    <hyperlink ref="A170" r:id="rId116" display="https://www.britannica.com/place/Mozambique" xr:uid="{D3498F3A-5FB6-084F-860F-9DA83C76F614}"/>
    <hyperlink ref="A179" r:id="rId117" display="https://www.britannica.com/place/Myanmar" xr:uid="{651F36D8-7483-434A-879A-BA77A681DC9F}"/>
    <hyperlink ref="A72" r:id="rId118" display="https://www.britannica.com/place/Namibia" xr:uid="{D216B850-2D93-D046-8320-89C6488AF1A0}"/>
    <hyperlink ref="A147" r:id="rId119" display="https://www.britannica.com/place/Nauru" xr:uid="{32C9B3DF-129D-9249-B897-65B24E42B229}"/>
    <hyperlink ref="A172" r:id="rId120" display="https://www.britannica.com/place/Nepal" xr:uid="{26353EB3-8ADB-8145-AC4B-EBB6ED8F5687}"/>
    <hyperlink ref="A154" r:id="rId121" display="https://www.britannica.com/place/Netherlands" xr:uid="{184769ED-6EF6-1A47-A44E-423BB18563B6}"/>
    <hyperlink ref="A161" r:id="rId122" display="https://www.britannica.com/place/New-Zealand" xr:uid="{D4368145-C3E8-9D40-AF0C-EA812C53EA67}"/>
    <hyperlink ref="A71" r:id="rId123" display="https://www.britannica.com/place/Nicaragua" xr:uid="{02B3D761-E0F6-5244-9BAE-85B3E4FE6E8C}"/>
    <hyperlink ref="A165" r:id="rId124" display="https://www.britannica.com/place/Niger" xr:uid="{BD19BFE9-993C-2D4E-84C5-87EFC0667C3D}"/>
    <hyperlink ref="A192" r:id="rId125" display="https://www.britannica.com/place/Nigeria" xr:uid="{95126E4C-210D-DB44-ADD7-BE38E5B2059A}"/>
    <hyperlink ref="A95" r:id="rId126" display="https://www.britannica.com/place/North-Korea" xr:uid="{B5D25E4C-9159-1D4A-AE61-0F202D396DBA}"/>
    <hyperlink ref="A33" r:id="rId127" display="https://www.britannica.com/place/North-Macedonia" xr:uid="{E24B3B80-25C5-9349-B520-D00F53138C95}"/>
    <hyperlink ref="A87" r:id="rId128" display="https://www.britannica.com/place/Norway" xr:uid="{EF5871B9-939A-A548-A9E5-E28E070CF1A4}"/>
    <hyperlink ref="A23" r:id="rId129" display="https://www.britannica.com/place/Oman" xr:uid="{4AE6811A-1B35-5B44-9FC2-9F8600F2F35F}"/>
    <hyperlink ref="A194" r:id="rId130" display="https://www.britannica.com/place/Pakistan" xr:uid="{6C518A02-355E-8146-B4E0-AB7C5C8473A0}"/>
    <hyperlink ref="A176" r:id="rId131" display="https://www.britannica.com/place/Palau" xr:uid="{D8FBD191-6D19-5D41-A3D8-DA7328B32C9D}"/>
    <hyperlink ref="A121" r:id="rId132" display="https://www.britannica.com/place/Panama" xr:uid="{DE522E9E-C6C0-884D-A144-6F86C369D1C5}"/>
    <hyperlink ref="A153" r:id="rId133" display="https://www.britannica.com/place/Papua-New-Guinea" xr:uid="{F81D7371-7C84-BD47-80F4-885E405B10B5}"/>
    <hyperlink ref="A135" r:id="rId134" display="https://www.britannica.com/place/Paraguay" xr:uid="{84DE1E63-F505-C44C-9B76-F68669AE7DAC}"/>
    <hyperlink ref="A32" r:id="rId135" display="https://www.britannica.com/place/Peru" xr:uid="{ADCBBAAC-4C91-4A4D-AF9D-6168113B2271}"/>
    <hyperlink ref="A178" r:id="rId136" display="https://www.britannica.com/place/Philippines" xr:uid="{FA853BBC-2762-594A-A35D-8B9A210CEFB2}"/>
    <hyperlink ref="A155" r:id="rId137" display="https://www.britannica.com/place/Poland" xr:uid="{D33C63F6-22FE-134A-9744-99BECF4588C6}"/>
    <hyperlink ref="A152" r:id="rId138" display="https://www.britannica.com/place/Portugal" xr:uid="{8922F854-3EB9-5241-92BE-7BCC481B1D50}"/>
    <hyperlink ref="A17" r:id="rId139" display="https://www.britannica.com/place/Qatar" xr:uid="{754209B3-C9AD-974B-AB25-76634FCD09AE}"/>
    <hyperlink ref="A22" r:id="rId140" display="https://www.britannica.com/place/Republic-of-the-Congo" xr:uid="{D6139B90-AE19-D340-8419-334C6731BDFA}"/>
    <hyperlink ref="A116" r:id="rId141" display="https://www.britannica.com/place/Romania" xr:uid="{CDE8D3BF-42A1-1049-9BB8-0769B6A949CC}"/>
    <hyperlink ref="A125" r:id="rId142" display="https://www.britannica.com/place/Russia" xr:uid="{6CC7EBE9-A0FE-9548-A317-15B614D05C89}"/>
    <hyperlink ref="A91" r:id="rId143" display="https://www.britannica.com/place/Rwanda" xr:uid="{060EDD50-A890-5E4A-8B50-BE5D81262CB9}"/>
    <hyperlink ref="A26" r:id="rId144" display="https://www.britannica.com/place/Saint-Kitts-and-Nevis" xr:uid="{54AB5206-BC00-D44E-BF1F-3C786E9F8619}"/>
    <hyperlink ref="A101" r:id="rId145" display="https://www.britannica.com/place/Saint-Lucia" xr:uid="{13053C37-8950-0542-9DE9-F14E7C672DEF}"/>
    <hyperlink ref="A99" r:id="rId146" display="https://www.britannica.com/place/Saint-Vincent-and-the-Grenadines" xr:uid="{1FB34F6D-332C-7B44-88AE-272F6CBDD4D6}"/>
    <hyperlink ref="A65" r:id="rId147" display="https://www.britannica.com/place/Samoa-island-nation-Pacific-Ocean" xr:uid="{C7FCB655-C8B4-E749-A3AD-450238EDBDAC}"/>
    <hyperlink ref="A94" r:id="rId148" display="https://www.britannica.com/place/San-Marino-republic-Europe" xr:uid="{77701805-3597-5B4A-94A9-487A1AD71989}"/>
    <hyperlink ref="A30" r:id="rId149" display="https://www.britannica.com/place/Sao-Tome-and-Principe" xr:uid="{61BDF677-288E-034B-98E7-A7FA286DD7A5}"/>
    <hyperlink ref="A48" r:id="rId150" display="https://www.britannica.com/place/Saudi-Arabia" xr:uid="{35D6560E-98AD-D642-9CCD-5EDA5F9A9E0A}"/>
    <hyperlink ref="A144" r:id="rId151" display="https://www.britannica.com/place/Senegal" xr:uid="{8C160C49-BC1B-7747-B013-3E53B4AAAA9A}"/>
    <hyperlink ref="A58" r:id="rId152" display="https://www.britannica.com/place/Serbia" xr:uid="{E9E0178E-4B27-BA46-8A7D-9C84338FCBF1}"/>
    <hyperlink ref="A35" r:id="rId153" display="https://www.britannica.com/place/Seychelles" xr:uid="{CA4AD6AC-1FD3-104B-8042-703F98F4109E}"/>
    <hyperlink ref="A62" r:id="rId154" display="https://www.britannica.com/place/Sierra-Leone" xr:uid="{1C929AD3-614D-6F4C-9A38-ABE239BD73A8}"/>
    <hyperlink ref="A2" r:id="rId155" display="https://www.britannica.com/place/Singapore" xr:uid="{11E5346B-FFD8-D04E-AD39-824792E06D38}"/>
    <hyperlink ref="A126" r:id="rId156" display="https://www.britannica.com/place/Slovakia" xr:uid="{7A028304-B783-F243-9CB6-0E744CDFAC45}"/>
    <hyperlink ref="A80" r:id="rId157" display="https://www.britannica.com/place/Slovenia" xr:uid="{A493DB59-7060-4243-B7B5-894BF031300E}"/>
    <hyperlink ref="A108" r:id="rId158" display="https://www.britannica.com/place/Solomon-Islands" xr:uid="{272D06FC-802C-674F-9024-8A8EE0221FFC}"/>
    <hyperlink ref="A70" r:id="rId159" display="https://www.britannica.com/place/Somalia" xr:uid="{6122C0F2-60BB-4F47-AF63-4CA3D04D8AD1}"/>
    <hyperlink ref="A187" r:id="rId160" display="https://www.britannica.com/place/South-Africa" xr:uid="{2DC7AA3F-0993-034B-8406-E56CF909585B}"/>
    <hyperlink ref="A57" r:id="rId161" display="https://www.britannica.com/place/South-Korea" xr:uid="{3BA2B5E4-C9EB-AF43-BE7C-FF7F0CEE689F}"/>
    <hyperlink ref="A169" r:id="rId162" display="https://www.britannica.com/place/South-Sudan" xr:uid="{89413A6A-761E-9C4C-A189-354FB6CA0B54}"/>
    <hyperlink ref="A137" r:id="rId163" display="https://www.britannica.com/place/Spain" xr:uid="{09C93FEE-EFBB-F744-AD57-C124F1CEE8B1}"/>
    <hyperlink ref="A193" r:id="rId164" display="https://www.britannica.com/place/Sri-Lanka" xr:uid="{BD559E1B-F757-3346-8B17-958AB6528597}"/>
    <hyperlink ref="A162" r:id="rId165" display="https://www.britannica.com/place/Sudan" xr:uid="{7C8237E8-DC62-7D41-AED4-A7A593CCCC94}"/>
    <hyperlink ref="A15" r:id="rId166" display="https://www.britannica.com/place/Suriname" xr:uid="{606D01B1-139A-1F48-8C47-323B25A10463}"/>
    <hyperlink ref="A119" r:id="rId167" display="https://www.britannica.com/place/Sweden" xr:uid="{52F2BB69-9A62-CF47-81A3-37AE3605E116}"/>
    <hyperlink ref="A182" r:id="rId168" display="https://www.britannica.com/place/Switzerland" xr:uid="{CB273B3F-4F29-3B4E-B57E-08BDE577A8D5}"/>
    <hyperlink ref="A96" r:id="rId169" display="https://www.britannica.com/place/Syria" xr:uid="{EC821378-26E2-384A-99E7-10CEA8CC3413}"/>
    <hyperlink ref="A110" r:id="rId170" display="https://www.britannica.com/place/Taiwan" xr:uid="{66FD0189-FE69-E647-9E64-132118D4C47C}"/>
    <hyperlink ref="A97" r:id="rId171" display="https://www.britannica.com/place/Tajikistan" xr:uid="{C6CEFACA-5B8C-6445-B602-287E38DAC8AE}"/>
    <hyperlink ref="A188" r:id="rId172" display="https://www.britannica.com/place/Tanzania" xr:uid="{E792E972-A0FD-314F-B2F1-A88DCEE0BCB9}"/>
    <hyperlink ref="A90" r:id="rId173" display="https://www.britannica.com/place/Thailand" xr:uid="{421A5027-EC94-D540-A3DC-3C4B42284751}"/>
    <hyperlink ref="A4" r:id="rId174" display="https://www.britannica.com/place/The-Bahamas" xr:uid="{15F16077-713D-6149-AB00-1C6C545A7C16}"/>
    <hyperlink ref="A186" r:id="rId175" display="https://www.britannica.com/place/The-Gambia" xr:uid="{212DDE39-94F2-7C4A-B67C-FC86A18BD521}"/>
    <hyperlink ref="A61" r:id="rId176" display="https://www.britannica.com/place/Togo" xr:uid="{51B31B69-DEC9-A04B-AC54-5013C08A7639}"/>
    <hyperlink ref="A37" r:id="rId177" display="https://www.britannica.com/place/Tonga" xr:uid="{B7509C45-0897-B54C-92A2-F5814FBE99DC}"/>
    <hyperlink ref="A168" r:id="rId178" display="https://www.britannica.com/place/Trinidad-and-Tobago" xr:uid="{C03F9D0F-8341-CE4D-AE42-FCA7658DD3B3}"/>
    <hyperlink ref="A151" r:id="rId179" display="https://www.britannica.com/place/Tunisia" xr:uid="{63393F44-C123-7442-88B7-6AA545BF880E}"/>
    <hyperlink ref="A141" r:id="rId180" display="https://www.britannica.com/place/Turkey" xr:uid="{42E1CF03-FBF0-BA4E-97BE-50A3544BADAA}"/>
    <hyperlink ref="A82" r:id="rId181" display="https://www.britannica.com/place/Turkmenistan" xr:uid="{02AF2F47-7F7D-A64A-9392-05961453CF2F}"/>
    <hyperlink ref="A6" r:id="rId182" display="https://www.britannica.com/place/Tuvalu" xr:uid="{D4379A0D-044C-6D4F-B7B8-0C5892989109}"/>
    <hyperlink ref="A164" r:id="rId183" display="https://www.britannica.com/place/Uganda" xr:uid="{392342E9-6D29-CD4B-888E-848989D13718}"/>
    <hyperlink ref="A138" r:id="rId184" display="https://www.britannica.com/place/Ukraine" xr:uid="{AB0C6772-C3B5-554C-A593-6D69BE364970}"/>
    <hyperlink ref="A56" r:id="rId185" display="https://www.britannica.com/place/United-Arab-Emirates" xr:uid="{ED5C53B2-AA54-784B-99EB-4CCDFCB32B6C}"/>
    <hyperlink ref="A86" r:id="rId186" display="https://www.britannica.com/place/United-Kingdom" xr:uid="{F0055519-4C0F-9245-909B-A446F1CAD980}"/>
    <hyperlink ref="A195" r:id="rId187" display="https://www.britannica.com/place/United-States" xr:uid="{C408A55C-B344-834C-BCB4-EDB520A3E81A}"/>
    <hyperlink ref="A18" r:id="rId188" display="https://www.britannica.com/place/Uruguay" xr:uid="{1B4F1598-5E5C-2348-9DEE-4376F8572911}"/>
    <hyperlink ref="A128" r:id="rId189" display="https://www.britannica.com/place/Uzbekistan" xr:uid="{E0CE0869-E3EF-694D-A295-EC831D90E033}"/>
    <hyperlink ref="A79" r:id="rId190" display="https://www.britannica.com/place/Vanuatu" xr:uid="{7E6BC233-D3F4-694D-B67E-B7513CC46987}"/>
    <hyperlink ref="A3" r:id="rId191" display="https://www.britannica.com/place/Vatican-City" xr:uid="{F62E625F-8CA9-F44B-86DB-BD49EE8FF874}"/>
    <hyperlink ref="A120" r:id="rId192" display="https://www.britannica.com/place/Venezuela" xr:uid="{A08573CA-A771-2747-B258-331B02A582C2}"/>
    <hyperlink ref="A127" r:id="rId193" display="https://www.britannica.com/place/Vietnam" xr:uid="{5785C6FB-FB54-8041-B41F-FA836903D4BE}"/>
    <hyperlink ref="A134" r:id="rId194" display="https://www.britannica.com/place/Yemen" xr:uid="{F3BCE511-FC32-594E-BFD3-4D82B9D75AA3}"/>
    <hyperlink ref="A111" r:id="rId195" display="https://www.britannica.com/place/Zambia" xr:uid="{4687ACAA-F9DB-C040-95D3-AAEBF9794AC9}"/>
    <hyperlink ref="A122" r:id="rId196" display="https://www.britannica.com/place/Zimbabwe" xr:uid="{1F44C920-DE8C-314C-A11F-D70D9C0E35FD}"/>
  </hyperlinks>
  <pageMargins left="0.7" right="0.7" top="0.75" bottom="0.75" header="0.3" footer="0.3"/>
  <drawing r:id="rId197"/>
  <tableParts count="1">
    <tablePart r:id="rId19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F4957-C73C-D64F-B329-BF961FE43467}">
  <sheetPr codeName="Sheet2"/>
  <dimension ref="A1:V518"/>
  <sheetViews>
    <sheetView zoomScale="130" zoomScaleNormal="130" workbookViewId="0">
      <pane ySplit="1" topLeftCell="A2" activePane="bottomLeft" state="frozen"/>
      <selection pane="bottomLeft" activeCell="F188" sqref="A1:F188"/>
    </sheetView>
  </sheetViews>
  <sheetFormatPr baseColWidth="10" defaultRowHeight="16" x14ac:dyDescent="0.2"/>
  <cols>
    <col min="1" max="1" width="16.5" style="15" bestFit="1" customWidth="1"/>
    <col min="2" max="2" width="30.83203125" style="15" customWidth="1"/>
    <col min="4" max="5" width="12" style="15" bestFit="1" customWidth="1"/>
    <col min="6" max="6" width="10.5" style="15" bestFit="1" customWidth="1"/>
    <col min="7" max="7" width="11.6640625" style="27" bestFit="1" customWidth="1"/>
    <col min="8" max="8" width="17.5" style="27" customWidth="1"/>
    <col min="9" max="9" width="16.5" style="15" bestFit="1" customWidth="1"/>
    <col min="10" max="10" width="14.33203125" style="15" bestFit="1" customWidth="1"/>
    <col min="11" max="11" width="13.1640625" style="27" bestFit="1" customWidth="1"/>
    <col min="13" max="13" width="11.1640625" style="15" customWidth="1"/>
    <col min="14" max="14" width="4" style="15" customWidth="1"/>
    <col min="15" max="15" width="10.83203125" style="15" bestFit="1" customWidth="1"/>
    <col min="16" max="16" width="30.83203125" style="15" bestFit="1" customWidth="1"/>
    <col min="17" max="17" width="10.83203125" style="15" bestFit="1" customWidth="1"/>
    <col min="18" max="18" width="9.33203125" style="15" bestFit="1" customWidth="1"/>
    <col min="19" max="19" width="10.5" style="15" bestFit="1" customWidth="1"/>
    <col min="20" max="16384" width="10.83203125" style="15"/>
  </cols>
  <sheetData>
    <row r="1" spans="1:17" s="19" customFormat="1" ht="16" customHeight="1" x14ac:dyDescent="0.2">
      <c r="A1" s="30" t="s">
        <v>2506</v>
      </c>
      <c r="B1" s="31" t="s">
        <v>1246</v>
      </c>
      <c r="C1" s="31" t="s">
        <v>611</v>
      </c>
      <c r="D1" s="15" t="s">
        <v>612</v>
      </c>
      <c r="E1" s="30" t="s">
        <v>2398</v>
      </c>
      <c r="F1" s="31" t="s">
        <v>660</v>
      </c>
      <c r="G1" s="31" t="s">
        <v>661</v>
      </c>
      <c r="H1" s="31" t="s">
        <v>604</v>
      </c>
      <c r="I1" s="31" t="s">
        <v>675</v>
      </c>
      <c r="J1" s="31" t="s">
        <v>280</v>
      </c>
      <c r="K1" s="30" t="s">
        <v>652</v>
      </c>
      <c r="L1" s="30" t="s">
        <v>1257</v>
      </c>
      <c r="M1" s="30" t="s">
        <v>1258</v>
      </c>
      <c r="N1" s="30" t="s">
        <v>1259</v>
      </c>
      <c r="O1" s="30" t="s">
        <v>1260</v>
      </c>
      <c r="P1" s="19" t="s">
        <v>651</v>
      </c>
      <c r="Q1" s="19">
        <f>S509</f>
        <v>20260101</v>
      </c>
    </row>
    <row r="2" spans="1:17" x14ac:dyDescent="0.2">
      <c r="A2" s="23" t="s">
        <v>781</v>
      </c>
      <c r="B2" s="15" t="s">
        <v>42</v>
      </c>
      <c r="C2" s="32">
        <v>19770627</v>
      </c>
      <c r="D2" s="32">
        <v>20261231</v>
      </c>
      <c r="E2" t="s">
        <v>2526</v>
      </c>
      <c r="F2" s="27" t="s">
        <v>683</v>
      </c>
      <c r="H2" s="28" t="s">
        <v>608</v>
      </c>
      <c r="I2" s="15" t="s">
        <v>783</v>
      </c>
      <c r="J2" s="27" t="str">
        <f>IF( F2 = "Sovereign", "x", "" )</f>
        <v>x</v>
      </c>
      <c r="K2" s="15">
        <f>( $C2&lt;=$Q$1 )*( $D2 &gt; $Q$1 ) * 1</f>
        <v>1</v>
      </c>
      <c r="L2" s="19" t="s">
        <v>624</v>
      </c>
      <c r="M2" s="19"/>
      <c r="N2" s="19"/>
      <c r="O2" s="19">
        <v>1</v>
      </c>
    </row>
    <row r="3" spans="1:17" x14ac:dyDescent="0.2">
      <c r="A3" s="23" t="s">
        <v>1247</v>
      </c>
      <c r="B3" s="15" t="s">
        <v>42</v>
      </c>
      <c r="C3" s="15">
        <v>18620311</v>
      </c>
      <c r="D3" s="32">
        <v>19770627</v>
      </c>
      <c r="E3" s="15" t="s">
        <v>2408</v>
      </c>
      <c r="F3" s="27" t="s">
        <v>684</v>
      </c>
      <c r="G3" s="27" t="s">
        <v>184</v>
      </c>
      <c r="H3" s="28" t="s">
        <v>608</v>
      </c>
      <c r="I3" s="15" t="s">
        <v>613</v>
      </c>
      <c r="J3" s="27"/>
      <c r="K3" s="15">
        <f>( $C3&lt;=$Q$1 )*( $D3 &gt; $Q$1 ) * 1</f>
        <v>0</v>
      </c>
      <c r="L3" s="19" t="s">
        <v>624</v>
      </c>
      <c r="M3" s="19"/>
      <c r="N3" s="19"/>
      <c r="O3" s="19">
        <v>2</v>
      </c>
    </row>
    <row r="4" spans="1:17" x14ac:dyDescent="0.2">
      <c r="A4" s="23" t="s">
        <v>909</v>
      </c>
      <c r="B4" s="15" t="s">
        <v>148</v>
      </c>
      <c r="C4" s="15">
        <v>19600626</v>
      </c>
      <c r="D4" s="32">
        <v>20261231</v>
      </c>
      <c r="E4" t="s">
        <v>2527</v>
      </c>
      <c r="F4" s="27" t="s">
        <v>683</v>
      </c>
      <c r="H4" s="28" t="s">
        <v>608</v>
      </c>
      <c r="I4" s="15" t="s">
        <v>1265</v>
      </c>
      <c r="J4" s="27" t="str">
        <f>IF( F4 = "Sovereign", "x", "" )</f>
        <v>x</v>
      </c>
      <c r="K4" s="15">
        <f>( $C4&lt;=$Q$1 )*( $D4 &gt; $Q$1 ) * 1</f>
        <v>1</v>
      </c>
      <c r="L4" s="19" t="s">
        <v>624</v>
      </c>
      <c r="M4" s="15" t="s">
        <v>1161</v>
      </c>
      <c r="N4" s="15" t="s">
        <v>361</v>
      </c>
      <c r="O4" s="19">
        <v>3</v>
      </c>
    </row>
    <row r="5" spans="1:17" x14ac:dyDescent="0.2">
      <c r="A5" s="23" t="s">
        <v>1110</v>
      </c>
      <c r="B5" s="15" t="s">
        <v>1106</v>
      </c>
      <c r="C5" s="15">
        <v>18840101</v>
      </c>
      <c r="D5" s="15">
        <v>19600626</v>
      </c>
      <c r="E5" s="15" t="s">
        <v>2404</v>
      </c>
      <c r="F5" s="27" t="s">
        <v>684</v>
      </c>
      <c r="G5" s="27" t="s">
        <v>173</v>
      </c>
      <c r="H5" s="28" t="s">
        <v>608</v>
      </c>
      <c r="I5" s="15" t="s">
        <v>613</v>
      </c>
      <c r="J5" s="27" t="str">
        <f>IF( F5 = "Sovereign", "x", "" )</f>
        <v/>
      </c>
      <c r="K5" s="15">
        <f>( $C5&lt;=$Q$1 )*( $D5 &gt; $Q$1 ) * 1</f>
        <v>0</v>
      </c>
      <c r="L5" s="19" t="s">
        <v>624</v>
      </c>
      <c r="M5" s="15" t="s">
        <v>1107</v>
      </c>
      <c r="N5" s="15" t="s">
        <v>1108</v>
      </c>
      <c r="O5" s="19">
        <v>4</v>
      </c>
    </row>
    <row r="6" spans="1:17" x14ac:dyDescent="0.2">
      <c r="A6" s="23" t="s">
        <v>1264</v>
      </c>
      <c r="B6" s="15" t="s">
        <v>1263</v>
      </c>
      <c r="C6" s="15">
        <v>19500401</v>
      </c>
      <c r="D6" s="15">
        <v>19600701</v>
      </c>
      <c r="E6" s="15" t="s">
        <v>2416</v>
      </c>
      <c r="F6" s="27" t="s">
        <v>684</v>
      </c>
      <c r="G6" s="27" t="s">
        <v>74</v>
      </c>
      <c r="H6" s="28" t="s">
        <v>608</v>
      </c>
      <c r="I6" s="15" t="s">
        <v>1109</v>
      </c>
      <c r="J6" s="27"/>
      <c r="K6" s="15">
        <f>( $C6&lt;=$Q$1 )*( $D6 &gt; $Q$1 ) * 1</f>
        <v>0</v>
      </c>
      <c r="L6" s="19" t="s">
        <v>624</v>
      </c>
      <c r="O6" s="19">
        <v>5</v>
      </c>
    </row>
    <row r="7" spans="1:17" x14ac:dyDescent="0.2">
      <c r="A7" s="23" t="s">
        <v>1109</v>
      </c>
      <c r="B7" s="15" t="s">
        <v>1263</v>
      </c>
      <c r="C7" s="15">
        <v>19410225</v>
      </c>
      <c r="D7" s="15">
        <v>19500401</v>
      </c>
      <c r="E7" s="15" t="s">
        <v>2404</v>
      </c>
      <c r="F7" s="27" t="s">
        <v>684</v>
      </c>
      <c r="G7" s="27" t="s">
        <v>173</v>
      </c>
      <c r="H7" s="28" t="s">
        <v>608</v>
      </c>
      <c r="I7" s="15" t="s">
        <v>1088</v>
      </c>
      <c r="J7" s="27" t="str">
        <f>IF( F7 = "Sovereign", "x", "" )</f>
        <v/>
      </c>
      <c r="K7" s="15">
        <f>( $C7&lt;=$Q$1 )*( $D7 &gt; $Q$1 ) * 1</f>
        <v>0</v>
      </c>
      <c r="L7" s="19" t="s">
        <v>624</v>
      </c>
      <c r="M7" s="19"/>
      <c r="O7" s="19">
        <v>6</v>
      </c>
    </row>
    <row r="8" spans="1:17" x14ac:dyDescent="0.2">
      <c r="A8" s="23" t="s">
        <v>1088</v>
      </c>
      <c r="B8" s="15" t="s">
        <v>1083</v>
      </c>
      <c r="C8" s="15">
        <v>19360509</v>
      </c>
      <c r="D8" s="15">
        <v>19411127</v>
      </c>
      <c r="E8" s="15" t="s">
        <v>2416</v>
      </c>
      <c r="F8" s="27" t="s">
        <v>684</v>
      </c>
      <c r="G8" s="27" t="s">
        <v>74</v>
      </c>
      <c r="H8" s="28" t="s">
        <v>608</v>
      </c>
      <c r="I8" s="15" t="s">
        <v>2448</v>
      </c>
      <c r="J8" s="27" t="str">
        <f>IF( F8 = "Sovereign", "x", "" )</f>
        <v/>
      </c>
      <c r="K8" s="15">
        <f>( $C8&lt;=$Q$1 )*( $D8 &gt; $Q$1 ) * 1</f>
        <v>0</v>
      </c>
      <c r="L8" s="19" t="s">
        <v>624</v>
      </c>
      <c r="M8" s="15" t="s">
        <v>1083</v>
      </c>
      <c r="N8" s="15" t="s">
        <v>254</v>
      </c>
      <c r="O8" s="19">
        <v>7</v>
      </c>
    </row>
    <row r="9" spans="1:17" x14ac:dyDescent="0.2">
      <c r="A9" s="23" t="s">
        <v>1102</v>
      </c>
      <c r="B9" s="15" t="s">
        <v>1100</v>
      </c>
      <c r="C9" s="15">
        <v>18890208</v>
      </c>
      <c r="D9" s="15">
        <v>19360601</v>
      </c>
      <c r="E9" s="15" t="s">
        <v>2416</v>
      </c>
      <c r="F9" s="27" t="s">
        <v>684</v>
      </c>
      <c r="G9" s="27" t="s">
        <v>74</v>
      </c>
      <c r="H9" s="28" t="s">
        <v>608</v>
      </c>
      <c r="I9" s="15" t="s">
        <v>613</v>
      </c>
      <c r="J9" s="27" t="str">
        <f>IF( F9 = "Sovereign", "x", "" )</f>
        <v/>
      </c>
      <c r="K9" s="15">
        <f>( $C9&lt;=$Q$1 )*( $D9 &gt; $Q$1 ) * 1</f>
        <v>0</v>
      </c>
      <c r="L9" s="19" t="s">
        <v>624</v>
      </c>
      <c r="M9" s="15" t="s">
        <v>1100</v>
      </c>
      <c r="N9" s="15" t="s">
        <v>1101</v>
      </c>
      <c r="O9" s="19">
        <v>8</v>
      </c>
    </row>
    <row r="10" spans="1:17" x14ac:dyDescent="0.2">
      <c r="A10" s="23" t="s">
        <v>1082</v>
      </c>
      <c r="B10" s="15" t="s">
        <v>50</v>
      </c>
      <c r="C10" s="15">
        <v>19930524</v>
      </c>
      <c r="D10" s="32">
        <v>20261231</v>
      </c>
      <c r="E10" t="s">
        <v>2528</v>
      </c>
      <c r="F10" s="27" t="s">
        <v>683</v>
      </c>
      <c r="H10" s="28" t="s">
        <v>608</v>
      </c>
      <c r="I10" s="15" t="s">
        <v>1094</v>
      </c>
      <c r="J10" s="27" t="str">
        <f>IF( F10 = "Sovereign", "x", "" )</f>
        <v>x</v>
      </c>
      <c r="K10" s="15">
        <f>( $C10&lt;=$Q$1 )*( $D10 &gt; $Q$1 ) * 1</f>
        <v>1</v>
      </c>
      <c r="L10" s="19" t="s">
        <v>624</v>
      </c>
      <c r="M10" s="15" t="s">
        <v>1086</v>
      </c>
      <c r="N10" s="15" t="s">
        <v>251</v>
      </c>
      <c r="O10" s="19">
        <v>9</v>
      </c>
    </row>
    <row r="11" spans="1:17" x14ac:dyDescent="0.2">
      <c r="A11" s="23" t="s">
        <v>2449</v>
      </c>
      <c r="B11" s="15" t="s">
        <v>50</v>
      </c>
      <c r="C11" s="15">
        <v>19520915</v>
      </c>
      <c r="D11" s="15">
        <v>19621114</v>
      </c>
      <c r="E11" t="s">
        <v>2529</v>
      </c>
      <c r="F11" s="27" t="s">
        <v>683</v>
      </c>
      <c r="H11" s="28" t="s">
        <v>608</v>
      </c>
      <c r="I11" s="15" t="s">
        <v>1094</v>
      </c>
      <c r="J11" s="27" t="str">
        <f>IF( F11 = "Sovereign", "x", "" )</f>
        <v>x</v>
      </c>
      <c r="K11" s="15">
        <f>( $C11&lt;=$Q$1 )*( $D11 &gt; $Q$1 ) * 1</f>
        <v>0</v>
      </c>
      <c r="L11" s="19" t="s">
        <v>624</v>
      </c>
      <c r="M11" s="15" t="s">
        <v>1085</v>
      </c>
      <c r="N11" s="15" t="s">
        <v>251</v>
      </c>
      <c r="O11" s="19">
        <v>10</v>
      </c>
    </row>
    <row r="12" spans="1:17" x14ac:dyDescent="0.2">
      <c r="A12" s="23" t="s">
        <v>1089</v>
      </c>
      <c r="B12" s="15" t="s">
        <v>50</v>
      </c>
      <c r="C12" s="15">
        <v>19411127</v>
      </c>
      <c r="D12" s="15">
        <v>19520915</v>
      </c>
      <c r="E12" s="15" t="s">
        <v>2404</v>
      </c>
      <c r="F12" s="27" t="s">
        <v>684</v>
      </c>
      <c r="G12" s="27" t="s">
        <v>173</v>
      </c>
      <c r="H12" s="28" t="s">
        <v>608</v>
      </c>
      <c r="I12" s="15" t="s">
        <v>1088</v>
      </c>
      <c r="J12" s="27" t="str">
        <f>IF( F12 = "Sovereign", "x", "" )</f>
        <v/>
      </c>
      <c r="K12" s="15">
        <f>( $C12&lt;=$Q$1 )*( $D12 &gt; $Q$1 ) * 1</f>
        <v>0</v>
      </c>
      <c r="L12" s="19" t="s">
        <v>624</v>
      </c>
      <c r="M12" s="15" t="s">
        <v>1084</v>
      </c>
      <c r="N12" s="15" t="s">
        <v>251</v>
      </c>
      <c r="O12" s="19">
        <v>11</v>
      </c>
    </row>
    <row r="13" spans="1:17" x14ac:dyDescent="0.2">
      <c r="A13" s="23" t="s">
        <v>1087</v>
      </c>
      <c r="B13" s="15" t="s">
        <v>1080</v>
      </c>
      <c r="C13" s="15">
        <v>18820705</v>
      </c>
      <c r="D13" s="15">
        <v>19360601</v>
      </c>
      <c r="E13" s="15" t="s">
        <v>2416</v>
      </c>
      <c r="F13" s="27" t="s">
        <v>684</v>
      </c>
      <c r="G13" s="27" t="s">
        <v>74</v>
      </c>
      <c r="H13" s="28" t="s">
        <v>608</v>
      </c>
      <c r="I13" s="15" t="s">
        <v>1095</v>
      </c>
      <c r="J13" s="27" t="str">
        <f>IF( F13 = "Sovereign", "x", "" )</f>
        <v/>
      </c>
      <c r="K13" s="15">
        <f>( $C13&lt;=$Q$1 )*( $D13 &gt; $Q$1 ) * 1</f>
        <v>0</v>
      </c>
      <c r="L13" s="19" t="s">
        <v>624</v>
      </c>
      <c r="M13" s="15" t="s">
        <v>1081</v>
      </c>
      <c r="N13" s="15" t="s">
        <v>251</v>
      </c>
      <c r="O13" s="19">
        <v>12</v>
      </c>
    </row>
    <row r="14" spans="1:17" x14ac:dyDescent="0.2">
      <c r="A14" s="23" t="s">
        <v>1094</v>
      </c>
      <c r="B14" s="15" t="s">
        <v>53</v>
      </c>
      <c r="C14" s="15">
        <v>19411127</v>
      </c>
      <c r="D14" s="32">
        <v>20261231</v>
      </c>
      <c r="E14" t="s">
        <v>2530</v>
      </c>
      <c r="F14" s="27" t="s">
        <v>683</v>
      </c>
      <c r="H14" s="28" t="s">
        <v>608</v>
      </c>
      <c r="I14" s="15" t="s">
        <v>1088</v>
      </c>
      <c r="J14" s="27" t="str">
        <f>IF( F14 = "Sovereign", "x", "" )</f>
        <v>x</v>
      </c>
      <c r="K14" s="15">
        <f>( $C14&lt;=$Q$1 )*( $D14 &gt; $Q$1 ) * 1</f>
        <v>1</v>
      </c>
      <c r="L14" s="19" t="s">
        <v>624</v>
      </c>
      <c r="M14" s="15" t="s">
        <v>1093</v>
      </c>
      <c r="N14" s="15" t="s">
        <v>254</v>
      </c>
      <c r="O14" s="19">
        <v>13</v>
      </c>
    </row>
    <row r="15" spans="1:17" x14ac:dyDescent="0.2">
      <c r="A15" s="23" t="s">
        <v>1095</v>
      </c>
      <c r="B15" s="15" t="s">
        <v>53</v>
      </c>
      <c r="C15" s="15">
        <v>18550211</v>
      </c>
      <c r="D15" s="15">
        <v>19360509</v>
      </c>
      <c r="E15" t="s">
        <v>2531</v>
      </c>
      <c r="F15" s="27" t="s">
        <v>683</v>
      </c>
      <c r="H15" s="28" t="s">
        <v>608</v>
      </c>
      <c r="I15" s="15" t="s">
        <v>613</v>
      </c>
      <c r="J15" s="27" t="str">
        <f>IF( F15 = "Sovereign", "x", "" )</f>
        <v>x</v>
      </c>
      <c r="K15" s="15">
        <f>( $C15&lt;=$Q$1 )*( $D15 &gt; $Q$1 ) * 1</f>
        <v>0</v>
      </c>
      <c r="L15" s="19" t="s">
        <v>624</v>
      </c>
      <c r="M15" s="15" t="s">
        <v>1090</v>
      </c>
      <c r="N15" s="15" t="s">
        <v>254</v>
      </c>
      <c r="O15" s="19">
        <v>14</v>
      </c>
    </row>
    <row r="16" spans="1:17" x14ac:dyDescent="0.2">
      <c r="A16" s="23" t="s">
        <v>898</v>
      </c>
      <c r="B16" s="15" t="s">
        <v>130</v>
      </c>
      <c r="C16" s="15">
        <v>19600815</v>
      </c>
      <c r="D16" s="32">
        <v>20261231</v>
      </c>
      <c r="E16" t="s">
        <v>2532</v>
      </c>
      <c r="F16" s="27" t="s">
        <v>683</v>
      </c>
      <c r="H16" s="28" t="s">
        <v>608</v>
      </c>
      <c r="I16" s="15" t="s">
        <v>899</v>
      </c>
      <c r="J16" s="27" t="str">
        <f>IF( F16 = "Sovereign", "x", "" )</f>
        <v>x</v>
      </c>
      <c r="K16" s="15">
        <f>( $C16&lt;=$Q$1 )*( $D16 &gt; $Q$1 ) * 1</f>
        <v>1</v>
      </c>
      <c r="L16" s="19" t="s">
        <v>624</v>
      </c>
      <c r="M16" s="15" t="s">
        <v>130</v>
      </c>
      <c r="N16" s="15" t="s">
        <v>345</v>
      </c>
      <c r="O16" s="19">
        <v>15</v>
      </c>
    </row>
    <row r="17" spans="1:15" x14ac:dyDescent="0.2">
      <c r="A17" s="23" t="s">
        <v>899</v>
      </c>
      <c r="B17" s="15" t="s">
        <v>130</v>
      </c>
      <c r="C17" s="15">
        <v>19581128</v>
      </c>
      <c r="D17" s="15">
        <v>19600815</v>
      </c>
      <c r="E17" s="15" t="s">
        <v>2408</v>
      </c>
      <c r="F17" s="27" t="s">
        <v>684</v>
      </c>
      <c r="G17" s="27" t="s">
        <v>184</v>
      </c>
      <c r="H17" s="28" t="s">
        <v>608</v>
      </c>
      <c r="I17" s="15" t="s">
        <v>895</v>
      </c>
      <c r="J17" s="27" t="str">
        <f>IF( F17 = "Sovereign", "x", "" )</f>
        <v/>
      </c>
      <c r="K17" s="15">
        <f>( $C17&lt;=$Q$1 )*( $D17 &gt; $Q$1 ) * 1</f>
        <v>0</v>
      </c>
      <c r="L17" s="19" t="s">
        <v>624</v>
      </c>
      <c r="M17" s="15" t="s">
        <v>130</v>
      </c>
      <c r="N17" s="15" t="s">
        <v>345</v>
      </c>
      <c r="O17" s="19">
        <v>16</v>
      </c>
    </row>
    <row r="18" spans="1:15" x14ac:dyDescent="0.2">
      <c r="A18" s="23" t="s">
        <v>895</v>
      </c>
      <c r="B18" s="15" t="s">
        <v>894</v>
      </c>
      <c r="C18" s="15">
        <v>19100115</v>
      </c>
      <c r="D18" s="15">
        <v>19581128</v>
      </c>
      <c r="E18" s="15" t="s">
        <v>2408</v>
      </c>
      <c r="F18" s="27" t="s">
        <v>684</v>
      </c>
      <c r="G18" s="27" t="s">
        <v>184</v>
      </c>
      <c r="H18" s="28" t="s">
        <v>608</v>
      </c>
      <c r="I18" s="15" t="s">
        <v>1286</v>
      </c>
      <c r="J18" s="27" t="str">
        <f>IF( F18 = "Sovereign", "x", "" )</f>
        <v/>
      </c>
      <c r="K18" s="15">
        <f>( $C18&lt;=$Q$1 )*( $D18 &gt; $Q$1 ) * 1</f>
        <v>0</v>
      </c>
      <c r="L18" s="19" t="s">
        <v>624</v>
      </c>
      <c r="M18" s="15" t="s">
        <v>894</v>
      </c>
      <c r="N18" s="15" t="s">
        <v>345</v>
      </c>
      <c r="O18" s="19">
        <v>17</v>
      </c>
    </row>
    <row r="19" spans="1:15" x14ac:dyDescent="0.2">
      <c r="A19" s="23" t="s">
        <v>900</v>
      </c>
      <c r="B19" s="15" t="s">
        <v>896</v>
      </c>
      <c r="C19" s="15">
        <v>18821130</v>
      </c>
      <c r="D19" s="15">
        <v>19100115</v>
      </c>
      <c r="E19" s="15" t="s">
        <v>2408</v>
      </c>
      <c r="F19" s="27" t="s">
        <v>684</v>
      </c>
      <c r="G19" s="27" t="s">
        <v>184</v>
      </c>
      <c r="H19" s="28" t="s">
        <v>608</v>
      </c>
      <c r="I19" s="15" t="s">
        <v>613</v>
      </c>
      <c r="J19" s="27" t="str">
        <f>IF( F19 = "Sovereign", "x", "" )</f>
        <v/>
      </c>
      <c r="K19" s="15">
        <f>( $C19&lt;=$Q$1 )*( $D19 &gt; $Q$1 ) * 1</f>
        <v>0</v>
      </c>
      <c r="L19" s="19" t="s">
        <v>624</v>
      </c>
      <c r="M19" s="15" t="s">
        <v>896</v>
      </c>
      <c r="N19" s="15" t="s">
        <v>345</v>
      </c>
      <c r="O19" s="19">
        <v>18</v>
      </c>
    </row>
    <row r="20" spans="1:15" x14ac:dyDescent="0.2">
      <c r="A20" s="23" t="s">
        <v>1042</v>
      </c>
      <c r="B20" s="15" t="s">
        <v>56</v>
      </c>
      <c r="C20" s="15">
        <v>19600817</v>
      </c>
      <c r="D20" s="32">
        <v>20261231</v>
      </c>
      <c r="E20" t="s">
        <v>2533</v>
      </c>
      <c r="F20" s="27" t="s">
        <v>683</v>
      </c>
      <c r="H20" s="28" t="s">
        <v>608</v>
      </c>
      <c r="I20" s="15" t="s">
        <v>1043</v>
      </c>
      <c r="J20" s="27" t="str">
        <f>IF( F20 = "Sovereign", "x", "" )</f>
        <v>x</v>
      </c>
      <c r="K20" s="15">
        <f>( $C20&lt;=$Q$1 )*( $D20 &gt; $Q$1 ) * 1</f>
        <v>1</v>
      </c>
      <c r="L20" s="19" t="s">
        <v>624</v>
      </c>
      <c r="M20" s="15" t="s">
        <v>1038</v>
      </c>
      <c r="N20" s="15" t="s">
        <v>259</v>
      </c>
      <c r="O20" s="19">
        <v>19</v>
      </c>
    </row>
    <row r="21" spans="1:15" x14ac:dyDescent="0.2">
      <c r="A21" s="23" t="s">
        <v>1043</v>
      </c>
      <c r="B21" s="15" t="s">
        <v>1278</v>
      </c>
      <c r="C21" s="15">
        <v>19581128</v>
      </c>
      <c r="D21" s="15">
        <v>19600817</v>
      </c>
      <c r="E21" s="15" t="s">
        <v>2408</v>
      </c>
      <c r="F21" s="27" t="s">
        <v>684</v>
      </c>
      <c r="G21" s="27" t="s">
        <v>184</v>
      </c>
      <c r="H21" s="28" t="s">
        <v>608</v>
      </c>
      <c r="I21" s="15" t="s">
        <v>895</v>
      </c>
      <c r="J21" s="27" t="str">
        <f>IF( F21 = "Sovereign", "x", "" )</f>
        <v/>
      </c>
      <c r="K21" s="15">
        <f>( $C21&lt;=$Q$1 )*( $D21 &gt; $Q$1 ) * 1</f>
        <v>0</v>
      </c>
      <c r="L21" s="19" t="s">
        <v>624</v>
      </c>
      <c r="M21" s="15" t="s">
        <v>1038</v>
      </c>
      <c r="N21" s="15" t="s">
        <v>259</v>
      </c>
      <c r="O21" s="19">
        <v>20</v>
      </c>
    </row>
    <row r="22" spans="1:15" x14ac:dyDescent="0.2">
      <c r="A22" s="15" t="s">
        <v>1045</v>
      </c>
      <c r="B22" s="15" t="s">
        <v>1278</v>
      </c>
      <c r="C22" s="15">
        <v>18850101</v>
      </c>
      <c r="D22" s="15">
        <v>19100115</v>
      </c>
      <c r="E22" s="15" t="s">
        <v>2408</v>
      </c>
      <c r="F22" s="27" t="s">
        <v>684</v>
      </c>
      <c r="G22" s="27" t="s">
        <v>184</v>
      </c>
      <c r="H22" s="28" t="s">
        <v>608</v>
      </c>
      <c r="I22" s="15" t="s">
        <v>613</v>
      </c>
      <c r="J22" s="27" t="str">
        <f>IF( F22 = "Sovereign", "x", "" )</f>
        <v/>
      </c>
      <c r="K22" s="15">
        <f>( $C22&lt;=$Q$1 )*( $D22 &gt; $Q$1 ) * 1</f>
        <v>0</v>
      </c>
      <c r="L22" s="19" t="s">
        <v>624</v>
      </c>
      <c r="M22" s="15" t="s">
        <v>1044</v>
      </c>
      <c r="N22" s="15" t="s">
        <v>259</v>
      </c>
      <c r="O22" s="19">
        <v>21</v>
      </c>
    </row>
    <row r="23" spans="1:15" x14ac:dyDescent="0.2">
      <c r="A23" s="23" t="s">
        <v>1280</v>
      </c>
      <c r="B23" s="15" t="s">
        <v>30</v>
      </c>
      <c r="C23" s="15">
        <v>19600813</v>
      </c>
      <c r="D23" s="15">
        <v>20261231</v>
      </c>
      <c r="E23" t="s">
        <v>2534</v>
      </c>
      <c r="F23" s="27" t="s">
        <v>683</v>
      </c>
      <c r="H23" s="28" t="s">
        <v>608</v>
      </c>
      <c r="I23" s="15" t="s">
        <v>1165</v>
      </c>
      <c r="J23" s="27" t="str">
        <f>IF( F23 = "Sovereign", "x", "" )</f>
        <v>x</v>
      </c>
      <c r="K23" s="15">
        <f>( $C23&lt;=$Q$1 )*( $D23 &gt; $Q$1 ) * 1</f>
        <v>1</v>
      </c>
      <c r="L23" s="19" t="s">
        <v>624</v>
      </c>
      <c r="M23" s="15" t="s">
        <v>30</v>
      </c>
      <c r="N23" s="15" t="s">
        <v>227</v>
      </c>
      <c r="O23" s="19">
        <v>22</v>
      </c>
    </row>
    <row r="24" spans="1:15" x14ac:dyDescent="0.2">
      <c r="A24" s="23" t="s">
        <v>1165</v>
      </c>
      <c r="B24" s="15" t="s">
        <v>30</v>
      </c>
      <c r="C24" s="15">
        <v>19581201</v>
      </c>
      <c r="D24" s="15">
        <v>19600813</v>
      </c>
      <c r="E24" s="15" t="s">
        <v>2408</v>
      </c>
      <c r="F24" s="27" t="s">
        <v>684</v>
      </c>
      <c r="G24" s="27" t="s">
        <v>184</v>
      </c>
      <c r="H24" s="28" t="s">
        <v>608</v>
      </c>
      <c r="I24" s="15" t="s">
        <v>895</v>
      </c>
      <c r="J24" s="27" t="str">
        <f>IF( F24 = "Sovereign", "x", "" )</f>
        <v/>
      </c>
      <c r="K24" s="15">
        <f>( $C24&lt;=$Q$1 )*( $D24 &gt; $Q$1 ) * 1</f>
        <v>0</v>
      </c>
      <c r="L24" s="19" t="s">
        <v>624</v>
      </c>
      <c r="M24" s="15" t="s">
        <v>30</v>
      </c>
      <c r="N24" s="15" t="s">
        <v>227</v>
      </c>
      <c r="O24" s="19">
        <v>23</v>
      </c>
    </row>
    <row r="25" spans="1:15" x14ac:dyDescent="0.2">
      <c r="A25" s="23" t="s">
        <v>1164</v>
      </c>
      <c r="B25" s="15" t="s">
        <v>1159</v>
      </c>
      <c r="C25" s="15">
        <v>19031229</v>
      </c>
      <c r="D25" s="15">
        <v>19100115</v>
      </c>
      <c r="E25" s="15" t="s">
        <v>2408</v>
      </c>
      <c r="F25" s="27" t="s">
        <v>684</v>
      </c>
      <c r="G25" s="27" t="s">
        <v>184</v>
      </c>
      <c r="H25" s="28" t="s">
        <v>608</v>
      </c>
      <c r="I25" s="15" t="s">
        <v>613</v>
      </c>
      <c r="J25" s="27" t="str">
        <f>IF( F25 = "Sovereign", "x", "" )</f>
        <v/>
      </c>
      <c r="K25" s="15">
        <f>( $C25&lt;=$Q$1 )*( $D25 &gt; $Q$1 ) * 1</f>
        <v>0</v>
      </c>
      <c r="L25" s="19" t="s">
        <v>624</v>
      </c>
      <c r="M25" s="15" t="s">
        <v>1162</v>
      </c>
      <c r="N25" s="15" t="s">
        <v>1163</v>
      </c>
      <c r="O25" s="19">
        <v>24</v>
      </c>
    </row>
    <row r="26" spans="1:15" x14ac:dyDescent="0.2">
      <c r="A26" s="23" t="s">
        <v>925</v>
      </c>
      <c r="B26" s="15" t="s">
        <v>31</v>
      </c>
      <c r="C26" s="15">
        <v>19600811</v>
      </c>
      <c r="D26" s="15">
        <v>20261231</v>
      </c>
      <c r="E26" t="s">
        <v>2535</v>
      </c>
      <c r="F26" s="27" t="s">
        <v>683</v>
      </c>
      <c r="H26" s="28" t="s">
        <v>608</v>
      </c>
      <c r="I26" s="15" t="s">
        <v>1285</v>
      </c>
      <c r="J26" s="27" t="str">
        <f>IF( F26 = "Sovereign", "x", "" )</f>
        <v>x</v>
      </c>
      <c r="K26" s="15">
        <f>( $C26&lt;=$Q$1 )*( $D26 &gt; $Q$1 ) * 1</f>
        <v>1</v>
      </c>
      <c r="L26" s="19" t="s">
        <v>624</v>
      </c>
      <c r="N26" s="15" t="s">
        <v>228</v>
      </c>
      <c r="O26" s="19">
        <v>25</v>
      </c>
    </row>
    <row r="27" spans="1:15" x14ac:dyDescent="0.2">
      <c r="A27" s="23" t="s">
        <v>1285</v>
      </c>
      <c r="B27" s="15" t="s">
        <v>1284</v>
      </c>
      <c r="C27" s="15">
        <v>19000905</v>
      </c>
      <c r="D27" s="15">
        <v>19100115</v>
      </c>
      <c r="E27" s="15" t="s">
        <v>2408</v>
      </c>
      <c r="F27" s="27" t="s">
        <v>684</v>
      </c>
      <c r="G27" s="27" t="s">
        <v>184</v>
      </c>
      <c r="H27" s="28" t="s">
        <v>608</v>
      </c>
      <c r="I27" s="15" t="s">
        <v>613</v>
      </c>
      <c r="J27" s="27" t="str">
        <f>IF( F27 = "Sovereign", "x", "" )</f>
        <v/>
      </c>
      <c r="K27" s="15">
        <f>( $C27&lt;=$Q$1 )*( $D27 &gt; $Q$1 ) * 1</f>
        <v>0</v>
      </c>
      <c r="L27" s="19" t="s">
        <v>624</v>
      </c>
      <c r="M27" s="19"/>
      <c r="O27" s="19">
        <v>26</v>
      </c>
    </row>
    <row r="28" spans="1:15" x14ac:dyDescent="0.2">
      <c r="A28" s="23" t="s">
        <v>901</v>
      </c>
      <c r="B28" s="15" t="s">
        <v>222</v>
      </c>
      <c r="C28" s="15">
        <v>19750705</v>
      </c>
      <c r="D28" s="32">
        <v>20261231</v>
      </c>
      <c r="E28" t="s">
        <v>2536</v>
      </c>
      <c r="F28" s="27" t="s">
        <v>683</v>
      </c>
      <c r="H28" s="28" t="s">
        <v>608</v>
      </c>
      <c r="I28" s="15" t="s">
        <v>1022</v>
      </c>
      <c r="J28" s="27" t="str">
        <f>IF( F28 = "Sovereign", "x", "" )</f>
        <v>x</v>
      </c>
      <c r="K28" s="15">
        <f>( $C28&lt;=$Q$1 )*( $D28 &gt; $Q$1 ) * 1</f>
        <v>1</v>
      </c>
      <c r="L28" s="19" t="s">
        <v>624</v>
      </c>
      <c r="M28" s="15" t="s">
        <v>1021</v>
      </c>
      <c r="N28" s="15" t="s">
        <v>223</v>
      </c>
      <c r="O28" s="19">
        <v>27</v>
      </c>
    </row>
    <row r="29" spans="1:15" x14ac:dyDescent="0.2">
      <c r="A29" s="23" t="s">
        <v>1022</v>
      </c>
      <c r="B29" s="15" t="s">
        <v>222</v>
      </c>
      <c r="C29" s="15">
        <v>14620101</v>
      </c>
      <c r="D29" s="15">
        <v>19750705</v>
      </c>
      <c r="E29" s="15" t="s">
        <v>2410</v>
      </c>
      <c r="F29" s="27" t="s">
        <v>684</v>
      </c>
      <c r="G29" s="27" t="s">
        <v>128</v>
      </c>
      <c r="H29" s="28" t="s">
        <v>608</v>
      </c>
      <c r="I29" s="15" t="s">
        <v>613</v>
      </c>
      <c r="J29" s="27" t="str">
        <f>IF( F29 = "Sovereign", "x", "" )</f>
        <v/>
      </c>
      <c r="K29" s="15">
        <f>( $C29&lt;=$Q$1 )*( $D29 &gt; $Q$1 ) * 1</f>
        <v>0</v>
      </c>
      <c r="L29" s="19" t="s">
        <v>624</v>
      </c>
      <c r="M29" s="15" t="s">
        <v>1040</v>
      </c>
      <c r="N29" s="15" t="s">
        <v>223</v>
      </c>
      <c r="O29" s="19">
        <v>28</v>
      </c>
    </row>
    <row r="30" spans="1:15" x14ac:dyDescent="0.2">
      <c r="A30" s="23" t="s">
        <v>903</v>
      </c>
      <c r="B30" s="15" t="s">
        <v>100</v>
      </c>
      <c r="C30" s="15">
        <v>19601128</v>
      </c>
      <c r="D30" s="32">
        <v>20261231</v>
      </c>
      <c r="E30" t="s">
        <v>2537</v>
      </c>
      <c r="F30" s="27" t="s">
        <v>683</v>
      </c>
      <c r="H30" s="28" t="s">
        <v>608</v>
      </c>
      <c r="I30" s="15" t="s">
        <v>1028</v>
      </c>
      <c r="J30" s="27" t="str">
        <f>IF( F30 = "Sovereign", "x", "" )</f>
        <v>x</v>
      </c>
      <c r="K30" s="15">
        <f>( $C30&lt;=$Q$1 )*( $D30 &gt; $Q$1 ) * 1</f>
        <v>1</v>
      </c>
      <c r="L30" s="19"/>
      <c r="M30" s="15" t="s">
        <v>1029</v>
      </c>
      <c r="N30" s="15" t="s">
        <v>314</v>
      </c>
      <c r="O30" s="19">
        <v>29</v>
      </c>
    </row>
    <row r="31" spans="1:15" x14ac:dyDescent="0.2">
      <c r="A31" s="23" t="s">
        <v>1028</v>
      </c>
      <c r="B31" s="15" t="s">
        <v>1293</v>
      </c>
      <c r="C31" s="15">
        <v>19581128</v>
      </c>
      <c r="D31" s="15">
        <v>19601128</v>
      </c>
      <c r="E31" s="15" t="s">
        <v>2408</v>
      </c>
      <c r="F31" s="27" t="s">
        <v>684</v>
      </c>
      <c r="G31" s="27" t="s">
        <v>184</v>
      </c>
      <c r="H31" s="28" t="s">
        <v>608</v>
      </c>
      <c r="I31" s="15" t="s">
        <v>1030</v>
      </c>
      <c r="J31" s="27" t="str">
        <f>IF( F31 = "Sovereign", "x", "" )</f>
        <v/>
      </c>
      <c r="K31" s="15">
        <f>( $C31&lt;=$Q$1 )*( $D31 &gt; $Q$1 ) * 1</f>
        <v>0</v>
      </c>
      <c r="L31" s="19"/>
      <c r="M31" s="15" t="s">
        <v>1029</v>
      </c>
      <c r="N31" s="15" t="s">
        <v>314</v>
      </c>
      <c r="O31" s="19">
        <v>30</v>
      </c>
    </row>
    <row r="32" spans="1:15" x14ac:dyDescent="0.2">
      <c r="A32" s="23" t="s">
        <v>1030</v>
      </c>
      <c r="B32" s="15" t="s">
        <v>1026</v>
      </c>
      <c r="C32" s="15">
        <v>18951027</v>
      </c>
      <c r="D32" s="15">
        <v>19581218</v>
      </c>
      <c r="E32" s="15" t="s">
        <v>2408</v>
      </c>
      <c r="F32" s="27" t="s">
        <v>684</v>
      </c>
      <c r="G32" s="27" t="s">
        <v>184</v>
      </c>
      <c r="H32" s="28" t="s">
        <v>608</v>
      </c>
      <c r="I32" s="15" t="s">
        <v>2457</v>
      </c>
      <c r="J32" s="27" t="str">
        <f>IF( F32 = "Sovereign", "x", "" )</f>
        <v/>
      </c>
      <c r="K32" s="15">
        <f>( $C32&lt;=$Q$1 )*( $D32 &gt; $Q$1 ) * 1</f>
        <v>0</v>
      </c>
      <c r="L32" s="19"/>
      <c r="M32" s="15" t="s">
        <v>1026</v>
      </c>
      <c r="N32" s="15" t="s">
        <v>1027</v>
      </c>
      <c r="O32" s="19">
        <v>31</v>
      </c>
    </row>
    <row r="33" spans="1:15" x14ac:dyDescent="0.2">
      <c r="A33" s="23" t="s">
        <v>1070</v>
      </c>
      <c r="B33" s="15" t="s">
        <v>1071</v>
      </c>
      <c r="C33" s="15">
        <v>19600620</v>
      </c>
      <c r="D33" s="15">
        <v>19600820</v>
      </c>
      <c r="E33" t="s">
        <v>2538</v>
      </c>
      <c r="F33" s="27" t="s">
        <v>683</v>
      </c>
      <c r="H33" s="28" t="s">
        <v>608</v>
      </c>
      <c r="I33" s="15" t="s">
        <v>1189</v>
      </c>
      <c r="J33" s="27" t="str">
        <f>IF( F33 = "Sovereign", "x", "" )</f>
        <v>x</v>
      </c>
      <c r="K33" s="15">
        <f>( $C33&lt;=$Q$1 )*( $D33 &gt; $Q$1 ) * 1</f>
        <v>0</v>
      </c>
      <c r="L33" s="19"/>
      <c r="M33" s="15" t="s">
        <v>1071</v>
      </c>
      <c r="N33" s="15" t="s">
        <v>355</v>
      </c>
      <c r="O33" s="19">
        <v>32</v>
      </c>
    </row>
    <row r="34" spans="1:15" x14ac:dyDescent="0.2">
      <c r="A34" s="23" t="s">
        <v>923</v>
      </c>
      <c r="B34" s="15" t="s">
        <v>141</v>
      </c>
      <c r="C34" s="15">
        <v>19600820</v>
      </c>
      <c r="D34" s="15">
        <v>20261231</v>
      </c>
      <c r="E34" t="s">
        <v>2539</v>
      </c>
      <c r="F34" s="27" t="s">
        <v>683</v>
      </c>
      <c r="H34" s="28" t="s">
        <v>608</v>
      </c>
      <c r="I34" s="15" t="s">
        <v>1070</v>
      </c>
      <c r="J34" s="27" t="str">
        <f>IF( F34 = "Sovereign", "x", "" )</f>
        <v>x</v>
      </c>
      <c r="K34" s="15">
        <f>( $C34&lt;=$Q$1 )*( $D34 &gt; $Q$1 ) * 1</f>
        <v>1</v>
      </c>
      <c r="L34" s="19"/>
      <c r="M34" s="15" t="s">
        <v>1188</v>
      </c>
      <c r="N34" s="15" t="s">
        <v>355</v>
      </c>
      <c r="O34" s="19">
        <v>33</v>
      </c>
    </row>
    <row r="35" spans="1:15" x14ac:dyDescent="0.2">
      <c r="A35" s="23" t="s">
        <v>1187</v>
      </c>
      <c r="B35" s="15" t="s">
        <v>1296</v>
      </c>
      <c r="C35" s="15">
        <v>19581125</v>
      </c>
      <c r="D35" s="15">
        <v>19600620</v>
      </c>
      <c r="E35" s="15" t="s">
        <v>2408</v>
      </c>
      <c r="F35" s="27" t="s">
        <v>684</v>
      </c>
      <c r="G35" s="27" t="s">
        <v>184</v>
      </c>
      <c r="H35" s="28" t="s">
        <v>608</v>
      </c>
      <c r="I35" s="15" t="s">
        <v>1030</v>
      </c>
      <c r="J35" s="27" t="str">
        <f>IF( F35 = "Sovereign", "x", "" )</f>
        <v/>
      </c>
      <c r="K35" s="15">
        <f>( $C35&lt;=$Q$1 )*( $D35 &gt; $Q$1 ) * 1</f>
        <v>0</v>
      </c>
      <c r="L35" s="19"/>
      <c r="M35" s="15" t="s">
        <v>1188</v>
      </c>
      <c r="N35" s="15" t="s">
        <v>355</v>
      </c>
      <c r="O35" s="19">
        <v>34</v>
      </c>
    </row>
    <row r="36" spans="1:15" x14ac:dyDescent="0.2">
      <c r="A36" s="23" t="s">
        <v>934</v>
      </c>
      <c r="B36" s="15" t="s">
        <v>1190</v>
      </c>
      <c r="C36" s="15">
        <v>19650218</v>
      </c>
      <c r="D36" s="15">
        <v>20261231</v>
      </c>
      <c r="E36" t="s">
        <v>2540</v>
      </c>
      <c r="F36" s="27" t="s">
        <v>683</v>
      </c>
      <c r="H36" s="28" t="s">
        <v>608</v>
      </c>
      <c r="I36" s="15" t="s">
        <v>1194</v>
      </c>
      <c r="J36" s="27" t="str">
        <f>IF( F36 = "Sovereign", "x", "" )</f>
        <v>x</v>
      </c>
      <c r="K36" s="15">
        <f>( $C36&lt;=$Q$1 )*( $D36 &gt; $Q$1 ) * 1</f>
        <v>1</v>
      </c>
      <c r="L36" s="19"/>
      <c r="M36" s="15" t="s">
        <v>1191</v>
      </c>
      <c r="N36" s="15" t="s">
        <v>284</v>
      </c>
      <c r="O36" s="19">
        <v>35</v>
      </c>
    </row>
    <row r="37" spans="1:15" x14ac:dyDescent="0.2">
      <c r="A37" s="23" t="s">
        <v>1194</v>
      </c>
      <c r="B37" s="15" t="s">
        <v>1190</v>
      </c>
      <c r="C37" s="15">
        <v>18161017</v>
      </c>
      <c r="D37" s="15">
        <v>19650218</v>
      </c>
      <c r="E37" s="15" t="s">
        <v>2404</v>
      </c>
      <c r="F37" s="27" t="s">
        <v>684</v>
      </c>
      <c r="G37" s="27" t="s">
        <v>173</v>
      </c>
      <c r="H37" s="28" t="s">
        <v>608</v>
      </c>
      <c r="I37" s="15" t="s">
        <v>613</v>
      </c>
      <c r="J37" s="27" t="str">
        <f>IF( F37 = "Sovereign", "x", "" )</f>
        <v/>
      </c>
      <c r="K37" s="15">
        <f>( $C37&lt;=$Q$1 )*( $D37 &gt; $Q$1 ) * 1</f>
        <v>0</v>
      </c>
      <c r="L37" s="19"/>
      <c r="M37" s="15" t="s">
        <v>1192</v>
      </c>
      <c r="N37" s="15" t="s">
        <v>1193</v>
      </c>
      <c r="O37" s="19">
        <v>36</v>
      </c>
    </row>
    <row r="38" spans="1:15" x14ac:dyDescent="0.2">
      <c r="A38" s="23" t="s">
        <v>915</v>
      </c>
      <c r="B38" s="15" t="s">
        <v>62</v>
      </c>
      <c r="C38" s="15">
        <v>19581002</v>
      </c>
      <c r="D38" s="15">
        <v>20261231</v>
      </c>
      <c r="E38" t="s">
        <v>2541</v>
      </c>
      <c r="F38" s="27" t="s">
        <v>683</v>
      </c>
      <c r="H38" s="28" t="s">
        <v>608</v>
      </c>
      <c r="I38" s="15" t="s">
        <v>1030</v>
      </c>
      <c r="J38" s="27" t="str">
        <f>IF( F38 = "Sovereign", "x", "" )</f>
        <v>x</v>
      </c>
      <c r="K38" s="15">
        <f>( $C38&lt;=$Q$1 )*( $D38 &gt; $Q$1 ) * 1</f>
        <v>1</v>
      </c>
      <c r="L38" s="19"/>
      <c r="M38" s="15" t="s">
        <v>1166</v>
      </c>
      <c r="N38" s="15" t="s">
        <v>266</v>
      </c>
      <c r="O38" s="19">
        <v>37</v>
      </c>
    </row>
    <row r="39" spans="1:15" x14ac:dyDescent="0.2">
      <c r="A39" s="15" t="s">
        <v>1299</v>
      </c>
      <c r="B39" s="15" t="s">
        <v>1302</v>
      </c>
      <c r="C39" s="15">
        <v>18910101</v>
      </c>
      <c r="D39" s="15">
        <v>18951027</v>
      </c>
      <c r="E39" s="15" t="s">
        <v>2408</v>
      </c>
      <c r="F39" s="27" t="s">
        <v>684</v>
      </c>
      <c r="G39" s="27" t="s">
        <v>184</v>
      </c>
      <c r="H39" s="28" t="s">
        <v>608</v>
      </c>
      <c r="I39" s="15" t="s">
        <v>613</v>
      </c>
      <c r="J39" s="27" t="str">
        <f>IF( F39 = "Sovereign", "x", "" )</f>
        <v/>
      </c>
      <c r="K39" s="15">
        <f>( $C39&lt;=$Q$1 )*( $D39 &gt; $Q$1 ) * 1</f>
        <v>0</v>
      </c>
      <c r="L39" s="19"/>
      <c r="M39" s="15" t="s">
        <v>1166</v>
      </c>
      <c r="N39" s="15" t="s">
        <v>266</v>
      </c>
      <c r="O39" s="19">
        <v>38</v>
      </c>
    </row>
    <row r="40" spans="1:15" x14ac:dyDescent="0.2">
      <c r="A40" s="23" t="s">
        <v>1046</v>
      </c>
      <c r="B40" s="15" t="s">
        <v>63</v>
      </c>
      <c r="C40" s="15">
        <v>19740910</v>
      </c>
      <c r="D40" s="32">
        <v>20261231</v>
      </c>
      <c r="E40" t="s">
        <v>2526</v>
      </c>
      <c r="F40" s="27" t="s">
        <v>683</v>
      </c>
      <c r="H40" s="28" t="s">
        <v>608</v>
      </c>
      <c r="I40" s="15" t="s">
        <v>1047</v>
      </c>
      <c r="J40" s="27" t="str">
        <f>IF( F40 = "Sovereign", "x", "" )</f>
        <v>x</v>
      </c>
      <c r="K40" s="15">
        <f>( $C40&lt;=$Q$1 )*( $D40 &gt; $Q$1 ) * 1</f>
        <v>1</v>
      </c>
      <c r="L40" s="19"/>
      <c r="M40" s="15" t="s">
        <v>1039</v>
      </c>
      <c r="N40" s="15" t="s">
        <v>271</v>
      </c>
      <c r="O40" s="19">
        <v>39</v>
      </c>
    </row>
    <row r="41" spans="1:15" x14ac:dyDescent="0.2">
      <c r="A41" s="23" t="s">
        <v>1047</v>
      </c>
      <c r="B41" s="15" t="s">
        <v>1041</v>
      </c>
      <c r="C41" s="15">
        <v>18790101</v>
      </c>
      <c r="D41" s="15">
        <v>19740910</v>
      </c>
      <c r="E41" s="15" t="s">
        <v>2410</v>
      </c>
      <c r="F41" s="27" t="s">
        <v>684</v>
      </c>
      <c r="G41" s="27" t="s">
        <v>128</v>
      </c>
      <c r="H41" s="28" t="s">
        <v>608</v>
      </c>
      <c r="I41" s="15" t="s">
        <v>613</v>
      </c>
      <c r="J41" s="27" t="str">
        <f>IF( F41 = "Sovereign", "x", "" )</f>
        <v/>
      </c>
      <c r="K41" s="15">
        <f>( $C41&lt;=$Q$1 )*( $D41 &gt; $Q$1 ) * 1</f>
        <v>0</v>
      </c>
      <c r="L41" s="19"/>
      <c r="M41" s="15" t="s">
        <v>1048</v>
      </c>
      <c r="N41" s="15" t="s">
        <v>271</v>
      </c>
      <c r="O41" s="19">
        <v>40</v>
      </c>
    </row>
    <row r="42" spans="1:15" x14ac:dyDescent="0.2">
      <c r="A42" s="23" t="s">
        <v>902</v>
      </c>
      <c r="B42" s="15" t="s">
        <v>88</v>
      </c>
      <c r="C42" s="15">
        <v>18470726</v>
      </c>
      <c r="D42" s="32">
        <v>20261231</v>
      </c>
      <c r="E42" t="s">
        <v>2527</v>
      </c>
      <c r="F42" s="27" t="s">
        <v>683</v>
      </c>
      <c r="H42" s="28" t="s">
        <v>608</v>
      </c>
      <c r="I42" s="15" t="s">
        <v>1306</v>
      </c>
      <c r="J42" s="27" t="str">
        <f>IF( F42 = "Sovereign", "x", "" )</f>
        <v>x</v>
      </c>
      <c r="K42" s="15">
        <f>( $C42&lt;=$Q$1 )*( $D42 &gt; $Q$1 ) * 1</f>
        <v>1</v>
      </c>
      <c r="L42" s="19"/>
      <c r="M42" s="15" t="s">
        <v>1023</v>
      </c>
      <c r="N42" s="15" t="s">
        <v>303</v>
      </c>
      <c r="O42" s="19">
        <v>41</v>
      </c>
    </row>
    <row r="43" spans="1:15" x14ac:dyDescent="0.2">
      <c r="A43" s="23" t="s">
        <v>1306</v>
      </c>
      <c r="B43" s="15" t="s">
        <v>88</v>
      </c>
      <c r="C43" s="15">
        <v>18220107</v>
      </c>
      <c r="D43" s="15">
        <v>18470726</v>
      </c>
      <c r="E43" t="s">
        <v>2528</v>
      </c>
      <c r="F43" s="27" t="s">
        <v>684</v>
      </c>
      <c r="G43" s="27" t="s">
        <v>1025</v>
      </c>
      <c r="H43" s="28" t="s">
        <v>608</v>
      </c>
      <c r="I43" s="15" t="s">
        <v>613</v>
      </c>
      <c r="J43" s="27" t="str">
        <f>IF( F43 = "Sovereign", "x", "" )</f>
        <v/>
      </c>
      <c r="K43" s="15">
        <f>( $C43&lt;=$Q$1 )*( $D43 &gt; $Q$1 ) * 1</f>
        <v>0</v>
      </c>
      <c r="L43" s="19"/>
      <c r="M43" s="15" t="s">
        <v>1024</v>
      </c>
      <c r="N43" s="15" t="s">
        <v>303</v>
      </c>
      <c r="O43" s="19">
        <v>42</v>
      </c>
    </row>
    <row r="44" spans="1:15" x14ac:dyDescent="0.2">
      <c r="A44" s="23" t="s">
        <v>933</v>
      </c>
      <c r="B44" s="15" t="s">
        <v>234</v>
      </c>
      <c r="C44" s="15">
        <v>19600807</v>
      </c>
      <c r="D44" s="15">
        <v>20261231</v>
      </c>
      <c r="E44" t="s">
        <v>2529</v>
      </c>
      <c r="F44" s="27" t="s">
        <v>683</v>
      </c>
      <c r="H44" s="28" t="s">
        <v>608</v>
      </c>
      <c r="I44" s="15" t="s">
        <v>1307</v>
      </c>
      <c r="J44" s="27" t="str">
        <f>IF( F44 = "Sovereign", "x", "" )</f>
        <v>x</v>
      </c>
      <c r="K44" s="15">
        <f>( $C44&lt;=$Q$1 )*( $D44 &gt; $Q$1 ) * 1</f>
        <v>1</v>
      </c>
      <c r="L44" s="19"/>
      <c r="M44" s="15" t="s">
        <v>1199</v>
      </c>
      <c r="N44" s="15" t="s">
        <v>235</v>
      </c>
      <c r="O44" s="19">
        <v>43</v>
      </c>
    </row>
    <row r="45" spans="1:15" x14ac:dyDescent="0.2">
      <c r="A45" s="23" t="s">
        <v>1307</v>
      </c>
      <c r="B45" s="15" t="s">
        <v>234</v>
      </c>
      <c r="C45" s="15">
        <v>19581204</v>
      </c>
      <c r="D45" s="15">
        <v>19600807</v>
      </c>
      <c r="E45" s="15" t="s">
        <v>2408</v>
      </c>
      <c r="F45" s="27" t="s">
        <v>684</v>
      </c>
      <c r="G45" s="27" t="s">
        <v>184</v>
      </c>
      <c r="H45" s="28" t="s">
        <v>608</v>
      </c>
      <c r="I45" s="15" t="s">
        <v>1200</v>
      </c>
      <c r="J45" s="27" t="str">
        <f>IF( F45 = "Sovereign", "x", "" )</f>
        <v/>
      </c>
      <c r="K45" s="15">
        <f>( $C45&lt;=$Q$1 )*( $D45 &gt; $Q$1 ) * 1</f>
        <v>0</v>
      </c>
      <c r="L45" s="19"/>
      <c r="M45" s="15" t="s">
        <v>1199</v>
      </c>
      <c r="N45" s="15" t="s">
        <v>1197</v>
      </c>
      <c r="O45" s="19">
        <v>44</v>
      </c>
    </row>
    <row r="46" spans="1:15" x14ac:dyDescent="0.2">
      <c r="A46" s="23" t="s">
        <v>1200</v>
      </c>
      <c r="B46" s="15" t="s">
        <v>234</v>
      </c>
      <c r="C46" s="15">
        <v>18930310</v>
      </c>
      <c r="D46" s="15">
        <v>19581204</v>
      </c>
      <c r="E46" s="15" t="s">
        <v>2408</v>
      </c>
      <c r="F46" s="27" t="s">
        <v>684</v>
      </c>
      <c r="G46" s="27" t="s">
        <v>184</v>
      </c>
      <c r="H46" s="28" t="s">
        <v>608</v>
      </c>
      <c r="I46" s="15" t="s">
        <v>613</v>
      </c>
      <c r="J46" s="27" t="str">
        <f>IF( F46 = "Sovereign", "x", "" )</f>
        <v/>
      </c>
      <c r="K46" s="15">
        <f>( $C46&lt;=$Q$1 )*( $D46 &gt; $Q$1 ) * 1</f>
        <v>0</v>
      </c>
      <c r="L46" s="19"/>
      <c r="M46" s="15" t="s">
        <v>1195</v>
      </c>
      <c r="N46" s="15" t="s">
        <v>1196</v>
      </c>
      <c r="O46" s="19">
        <v>45</v>
      </c>
    </row>
    <row r="47" spans="1:15" x14ac:dyDescent="0.2">
      <c r="A47" s="23" t="s">
        <v>1456</v>
      </c>
      <c r="B47" s="15" t="s">
        <v>58</v>
      </c>
      <c r="C47" s="15">
        <v>19570306</v>
      </c>
      <c r="D47" s="15">
        <v>20261231</v>
      </c>
      <c r="E47" t="s">
        <v>2530</v>
      </c>
      <c r="F47" s="27" t="s">
        <v>683</v>
      </c>
      <c r="H47" s="28" t="s">
        <v>608</v>
      </c>
      <c r="I47" s="15" t="s">
        <v>1208</v>
      </c>
      <c r="J47" s="27" t="str">
        <f>IF( F47 = "Sovereign", "x", "" )</f>
        <v>x</v>
      </c>
      <c r="K47" s="15">
        <f>( $C47&lt;=$Q$1 )*( $D47 &gt; $Q$1 ) * 1</f>
        <v>1</v>
      </c>
      <c r="L47" s="19"/>
      <c r="M47" s="15" t="s">
        <v>1209</v>
      </c>
      <c r="N47" s="15" t="s">
        <v>262</v>
      </c>
      <c r="O47" s="19">
        <v>46</v>
      </c>
    </row>
    <row r="48" spans="1:15" x14ac:dyDescent="0.2">
      <c r="A48" s="23" t="s">
        <v>906</v>
      </c>
      <c r="B48" s="15" t="s">
        <v>163</v>
      </c>
      <c r="C48" s="15">
        <v>19600427</v>
      </c>
      <c r="D48" s="32">
        <v>20261231</v>
      </c>
      <c r="E48" t="s">
        <v>2531</v>
      </c>
      <c r="F48" s="27" t="s">
        <v>683</v>
      </c>
      <c r="H48" s="28" t="s">
        <v>608</v>
      </c>
      <c r="I48" s="15" t="s">
        <v>2361</v>
      </c>
      <c r="J48" s="27" t="str">
        <f>IF( F48 = "Sovereign", "x", "" )</f>
        <v>x</v>
      </c>
      <c r="K48" s="15">
        <f>( $C48&lt;=$Q$1 )*( $D48 &gt; $Q$1 ) * 1</f>
        <v>1</v>
      </c>
      <c r="L48" s="19"/>
      <c r="M48" s="15" t="s">
        <v>1052</v>
      </c>
      <c r="N48" s="15" t="s">
        <v>378</v>
      </c>
      <c r="O48" s="19">
        <v>47</v>
      </c>
    </row>
    <row r="49" spans="1:15" x14ac:dyDescent="0.2">
      <c r="A49" s="23" t="s">
        <v>2361</v>
      </c>
      <c r="B49" s="15" t="s">
        <v>163</v>
      </c>
      <c r="C49" s="15">
        <v>19560910</v>
      </c>
      <c r="D49" s="15">
        <v>19600427</v>
      </c>
      <c r="E49" s="15" t="s">
        <v>2408</v>
      </c>
      <c r="F49" s="27" t="s">
        <v>684</v>
      </c>
      <c r="G49" s="27" t="s">
        <v>184</v>
      </c>
      <c r="H49" s="28" t="s">
        <v>608</v>
      </c>
      <c r="I49" s="15" t="s">
        <v>1060</v>
      </c>
      <c r="J49" s="27" t="str">
        <f>IF( F49 = "Sovereign", "x", "" )</f>
        <v/>
      </c>
      <c r="K49" s="15">
        <f>( $C49&lt;=$Q$1 )*( $D49 &gt; $Q$1 ) * 1</f>
        <v>0</v>
      </c>
      <c r="L49" s="19"/>
      <c r="M49" s="15" t="s">
        <v>1061</v>
      </c>
      <c r="N49" s="15" t="s">
        <v>378</v>
      </c>
      <c r="O49" s="19">
        <v>48</v>
      </c>
    </row>
    <row r="50" spans="1:15" x14ac:dyDescent="0.2">
      <c r="A50" s="29" t="s">
        <v>1057</v>
      </c>
      <c r="B50" s="15" t="s">
        <v>1053</v>
      </c>
      <c r="C50" s="15">
        <v>18840705</v>
      </c>
      <c r="D50" s="15">
        <v>19161227</v>
      </c>
      <c r="E50" s="15" t="s">
        <v>2407</v>
      </c>
      <c r="F50" s="27" t="s">
        <v>684</v>
      </c>
      <c r="G50" s="27" t="s">
        <v>57</v>
      </c>
      <c r="H50" s="28" t="s">
        <v>608</v>
      </c>
      <c r="I50" s="15" t="s">
        <v>613</v>
      </c>
      <c r="J50" s="27" t="str">
        <f>IF( F50 = "Sovereign", "x", "" )</f>
        <v/>
      </c>
      <c r="K50" s="15">
        <f>( $C50&lt;=$Q$1 )*( $D50 &gt; $Q$1 ) * 1</f>
        <v>0</v>
      </c>
      <c r="L50" s="19"/>
      <c r="M50" s="15" t="s">
        <v>1054</v>
      </c>
      <c r="N50" s="15" t="s">
        <v>1055</v>
      </c>
      <c r="O50" s="19">
        <v>49</v>
      </c>
    </row>
    <row r="51" spans="1:15" x14ac:dyDescent="0.2">
      <c r="A51" s="23" t="s">
        <v>1060</v>
      </c>
      <c r="B51" s="15" t="s">
        <v>1058</v>
      </c>
      <c r="C51" s="15">
        <v>19161227</v>
      </c>
      <c r="D51" s="15">
        <v>19560910</v>
      </c>
      <c r="E51" s="15" t="s">
        <v>2408</v>
      </c>
      <c r="F51" s="27" t="s">
        <v>684</v>
      </c>
      <c r="G51" s="27" t="s">
        <v>184</v>
      </c>
      <c r="H51" s="28" t="s">
        <v>608</v>
      </c>
      <c r="I51" s="15" t="s">
        <v>1057</v>
      </c>
      <c r="J51" s="27" t="str">
        <f>IF( F51 = "Sovereign", "x", "" )</f>
        <v/>
      </c>
      <c r="K51" s="15">
        <f>( $C51&lt;=$Q$1 )*( $D51 &gt; $Q$1 ) * 1</f>
        <v>0</v>
      </c>
      <c r="L51" s="19"/>
      <c r="M51" s="15" t="s">
        <v>1059</v>
      </c>
      <c r="N51" s="15" t="s">
        <v>378</v>
      </c>
      <c r="O51" s="19">
        <v>50</v>
      </c>
    </row>
    <row r="52" spans="1:15" x14ac:dyDescent="0.2">
      <c r="A52" s="23" t="s">
        <v>1063</v>
      </c>
      <c r="B52" s="15" t="s">
        <v>143</v>
      </c>
      <c r="C52" s="15">
        <v>19610427</v>
      </c>
      <c r="D52" s="32">
        <v>20261231</v>
      </c>
      <c r="E52" t="s">
        <v>2532</v>
      </c>
      <c r="F52" s="27" t="s">
        <v>683</v>
      </c>
      <c r="H52" s="28" t="s">
        <v>608</v>
      </c>
      <c r="I52" s="15" t="s">
        <v>1065</v>
      </c>
      <c r="J52" s="27" t="str">
        <f>IF( F52 = "Sovereign", "x", "" )</f>
        <v>x</v>
      </c>
      <c r="K52" s="15">
        <f>( $C52&lt;=$Q$1 )*( $D52 &gt; $Q$1 ) * 1</f>
        <v>1</v>
      </c>
      <c r="L52" s="19"/>
      <c r="M52" s="15" t="s">
        <v>1062</v>
      </c>
      <c r="N52" s="15" t="s">
        <v>258</v>
      </c>
      <c r="O52" s="19">
        <v>51</v>
      </c>
    </row>
    <row r="53" spans="1:15" x14ac:dyDescent="0.2">
      <c r="A53" s="15" t="s">
        <v>1065</v>
      </c>
      <c r="B53" s="15" t="s">
        <v>1319</v>
      </c>
      <c r="C53" s="15">
        <v>18080101</v>
      </c>
      <c r="D53" s="15">
        <v>19610427</v>
      </c>
      <c r="E53" s="15" t="s">
        <v>2404</v>
      </c>
      <c r="F53" s="27" t="s">
        <v>684</v>
      </c>
      <c r="G53" s="27" t="s">
        <v>173</v>
      </c>
      <c r="H53" s="28" t="s">
        <v>608</v>
      </c>
      <c r="I53" s="15" t="s">
        <v>613</v>
      </c>
      <c r="J53" s="27" t="str">
        <f>IF( F53 = "Sovereign", "x", "" )</f>
        <v/>
      </c>
      <c r="K53" s="15">
        <f>( $C53&lt;=$Q$1 )*( $D53 &gt; $Q$1 ) * 1</f>
        <v>0</v>
      </c>
      <c r="L53" s="19"/>
      <c r="M53" s="15" t="s">
        <v>1064</v>
      </c>
      <c r="N53" s="15" t="s">
        <v>258</v>
      </c>
      <c r="O53" s="19">
        <v>52</v>
      </c>
    </row>
    <row r="54" spans="1:15" x14ac:dyDescent="0.2">
      <c r="A54" s="23" t="s">
        <v>907</v>
      </c>
      <c r="B54" s="15" t="s">
        <v>97</v>
      </c>
      <c r="C54" s="15">
        <v>19600820</v>
      </c>
      <c r="D54" s="32">
        <v>20261231</v>
      </c>
      <c r="E54" t="s">
        <v>2533</v>
      </c>
      <c r="F54" s="27" t="s">
        <v>683</v>
      </c>
      <c r="H54" s="28" t="s">
        <v>608</v>
      </c>
      <c r="I54" s="15" t="s">
        <v>1070</v>
      </c>
      <c r="J54" s="27" t="str">
        <f>IF( F54 = "Sovereign", "x", "" )</f>
        <v>x</v>
      </c>
      <c r="K54" s="15">
        <f>( $C54&lt;=$Q$1 )*( $D54 &gt; $Q$1 ) * 1</f>
        <v>1</v>
      </c>
      <c r="L54" s="19"/>
      <c r="M54" s="15" t="s">
        <v>1160</v>
      </c>
      <c r="N54" s="15" t="s">
        <v>311</v>
      </c>
      <c r="O54" s="19">
        <v>53</v>
      </c>
    </row>
    <row r="55" spans="1:15" x14ac:dyDescent="0.2">
      <c r="A55" s="23" t="s">
        <v>1068</v>
      </c>
      <c r="B55" s="15" t="s">
        <v>1069</v>
      </c>
      <c r="C55" s="15">
        <v>19581124</v>
      </c>
      <c r="D55" s="15">
        <v>19600620</v>
      </c>
      <c r="E55" s="15" t="s">
        <v>2408</v>
      </c>
      <c r="F55" s="27" t="s">
        <v>684</v>
      </c>
      <c r="G55" s="27" t="s">
        <v>184</v>
      </c>
      <c r="H55" s="28" t="s">
        <v>608</v>
      </c>
      <c r="I55" s="15" t="s">
        <v>1067</v>
      </c>
      <c r="J55" s="27" t="str">
        <f>IF( F55 = "Sovereign", "x", "" )</f>
        <v/>
      </c>
      <c r="K55" s="15">
        <f>( $C55&lt;=$Q$1 )*( $D55 &gt; $Q$1 ) * 1</f>
        <v>0</v>
      </c>
      <c r="L55" s="19"/>
      <c r="M55" s="15" t="s">
        <v>1069</v>
      </c>
      <c r="N55" s="15" t="s">
        <v>311</v>
      </c>
      <c r="O55" s="19">
        <v>54</v>
      </c>
    </row>
    <row r="56" spans="1:15" x14ac:dyDescent="0.2">
      <c r="A56" s="23" t="s">
        <v>1323</v>
      </c>
      <c r="B56" s="15" t="s">
        <v>1066</v>
      </c>
      <c r="C56" s="15">
        <v>18900818</v>
      </c>
      <c r="D56" s="15">
        <v>18951027</v>
      </c>
      <c r="E56" s="15" t="s">
        <v>2408</v>
      </c>
      <c r="F56" s="27" t="s">
        <v>684</v>
      </c>
      <c r="G56" s="27" t="s">
        <v>184</v>
      </c>
      <c r="H56" s="28" t="s">
        <v>608</v>
      </c>
      <c r="I56" s="15" t="s">
        <v>613</v>
      </c>
      <c r="J56" s="27" t="str">
        <f>IF( F56 = "Sovereign", "x", "" )</f>
        <v/>
      </c>
      <c r="K56" s="15">
        <f>( $C56&lt;=$Q$1 )*( $D56 &gt; $Q$1 ) * 1</f>
        <v>0</v>
      </c>
      <c r="L56" s="19"/>
      <c r="M56" s="15" t="s">
        <v>1066</v>
      </c>
      <c r="N56" s="15" t="s">
        <v>311</v>
      </c>
      <c r="O56" s="19">
        <v>55</v>
      </c>
    </row>
    <row r="57" spans="1:15" x14ac:dyDescent="0.2">
      <c r="A57" s="23" t="s">
        <v>918</v>
      </c>
      <c r="B57" s="15" t="s">
        <v>25</v>
      </c>
      <c r="C57" s="15">
        <v>19600805</v>
      </c>
      <c r="D57" s="15">
        <v>20261231</v>
      </c>
      <c r="E57" t="s">
        <v>2534</v>
      </c>
      <c r="F57" s="27" t="s">
        <v>683</v>
      </c>
      <c r="H57" s="28" t="s">
        <v>608</v>
      </c>
      <c r="I57" s="15" t="s">
        <v>1186</v>
      </c>
      <c r="J57" s="27" t="str">
        <f>IF( F57 = "Sovereign", "x", "" )</f>
        <v>x</v>
      </c>
      <c r="K57" s="15">
        <f>( $C57&lt;=$Q$1 )*( $D57 &gt; $Q$1 ) * 1</f>
        <v>1</v>
      </c>
      <c r="L57" s="19"/>
      <c r="M57" s="15" t="s">
        <v>25</v>
      </c>
      <c r="N57" s="15" t="s">
        <v>219</v>
      </c>
      <c r="O57" s="19">
        <v>56</v>
      </c>
    </row>
    <row r="58" spans="1:15" x14ac:dyDescent="0.2">
      <c r="A58" s="23" t="s">
        <v>1186</v>
      </c>
      <c r="B58" s="15" t="s">
        <v>1184</v>
      </c>
      <c r="C58" s="15">
        <v>19581211</v>
      </c>
      <c r="D58" s="15">
        <v>19600805</v>
      </c>
      <c r="E58" s="15" t="s">
        <v>2408</v>
      </c>
      <c r="F58" s="27" t="s">
        <v>684</v>
      </c>
      <c r="G58" s="27" t="s">
        <v>184</v>
      </c>
      <c r="H58" s="28" t="s">
        <v>608</v>
      </c>
      <c r="I58" s="15" t="s">
        <v>1030</v>
      </c>
      <c r="J58" s="27" t="str">
        <f>IF( F58 = "Sovereign", "x", "" )</f>
        <v/>
      </c>
      <c r="K58" s="15">
        <f>( $C58&lt;=$Q$1 )*( $D58 &gt; $Q$1 ) * 1</f>
        <v>0</v>
      </c>
      <c r="L58" s="19"/>
      <c r="M58" s="15" t="s">
        <v>1185</v>
      </c>
      <c r="N58" s="15" t="s">
        <v>219</v>
      </c>
      <c r="O58" s="19">
        <v>57</v>
      </c>
    </row>
    <row r="59" spans="1:15" x14ac:dyDescent="0.2">
      <c r="A59" s="23" t="s">
        <v>928</v>
      </c>
      <c r="B59" s="15" t="s">
        <v>115</v>
      </c>
      <c r="C59" s="15">
        <v>19600803</v>
      </c>
      <c r="D59" s="15">
        <v>20261231</v>
      </c>
      <c r="E59" t="s">
        <v>2535</v>
      </c>
      <c r="F59" s="27" t="s">
        <v>683</v>
      </c>
      <c r="H59" s="28" t="s">
        <v>608</v>
      </c>
      <c r="I59" s="15" t="s">
        <v>1202</v>
      </c>
      <c r="J59" s="27" t="str">
        <f>IF( F59 = "Sovereign", "x", "" )</f>
        <v>x</v>
      </c>
      <c r="K59" s="15">
        <f>( $C59&lt;=$Q$1 )*( $D59 &gt; $Q$1 ) * 1</f>
        <v>1</v>
      </c>
      <c r="L59" s="19"/>
      <c r="M59" s="15" t="s">
        <v>1203</v>
      </c>
      <c r="N59" s="15" t="s">
        <v>329</v>
      </c>
      <c r="O59" s="19">
        <v>58</v>
      </c>
    </row>
    <row r="60" spans="1:15" x14ac:dyDescent="0.2">
      <c r="A60" s="23" t="s">
        <v>1202</v>
      </c>
      <c r="B60" s="15" t="s">
        <v>115</v>
      </c>
      <c r="C60" s="15">
        <v>19581218</v>
      </c>
      <c r="D60" s="15">
        <v>19600803</v>
      </c>
      <c r="E60" s="15" t="s">
        <v>2408</v>
      </c>
      <c r="F60" s="27" t="s">
        <v>684</v>
      </c>
      <c r="G60" s="27" t="s">
        <v>184</v>
      </c>
      <c r="H60" s="28" t="s">
        <v>608</v>
      </c>
      <c r="I60" s="15" t="s">
        <v>1030</v>
      </c>
      <c r="J60" s="27" t="str">
        <f>IF( F60 = "Sovereign", "x", "" )</f>
        <v/>
      </c>
      <c r="K60" s="15">
        <f>( $C60&lt;=$Q$1 )*( $D60 &gt; $Q$1 ) * 1</f>
        <v>0</v>
      </c>
      <c r="L60" s="19"/>
      <c r="M60" s="15" t="s">
        <v>1203</v>
      </c>
      <c r="N60" s="15" t="s">
        <v>329</v>
      </c>
      <c r="O60" s="19">
        <v>59</v>
      </c>
    </row>
    <row r="61" spans="1:15" x14ac:dyDescent="0.2">
      <c r="A61" s="23" t="s">
        <v>931</v>
      </c>
      <c r="B61" s="15" t="s">
        <v>17</v>
      </c>
      <c r="C61" s="15">
        <v>19600801</v>
      </c>
      <c r="D61" s="15">
        <v>20261231</v>
      </c>
      <c r="E61" t="s">
        <v>2536</v>
      </c>
      <c r="F61" s="27" t="s">
        <v>683</v>
      </c>
      <c r="H61" s="28" t="s">
        <v>608</v>
      </c>
      <c r="I61" s="15" t="s">
        <v>1204</v>
      </c>
      <c r="J61" s="27" t="str">
        <f>IF( F61 = "Sovereign", "x", "" )</f>
        <v>x</v>
      </c>
      <c r="K61" s="15">
        <f>( $C61&lt;=$Q$1 )*( $D61 &gt; $Q$1 ) * 1</f>
        <v>1</v>
      </c>
      <c r="L61" s="19"/>
      <c r="M61" s="15" t="s">
        <v>1221</v>
      </c>
      <c r="N61" s="15" t="s">
        <v>211</v>
      </c>
      <c r="O61" s="19">
        <v>60</v>
      </c>
    </row>
    <row r="62" spans="1:15" x14ac:dyDescent="0.2">
      <c r="A62" s="23" t="s">
        <v>1204</v>
      </c>
      <c r="B62" s="15" t="s">
        <v>17</v>
      </c>
      <c r="C62" s="15">
        <v>19581204</v>
      </c>
      <c r="D62" s="15">
        <v>19600801</v>
      </c>
      <c r="E62" s="15" t="s">
        <v>2408</v>
      </c>
      <c r="F62" s="27" t="s">
        <v>684</v>
      </c>
      <c r="G62" s="27" t="s">
        <v>184</v>
      </c>
      <c r="H62" s="28" t="s">
        <v>608</v>
      </c>
      <c r="I62" s="15" t="s">
        <v>1030</v>
      </c>
      <c r="J62" s="27" t="str">
        <f>IF( F62 = "Sovereign", "x", "" )</f>
        <v/>
      </c>
      <c r="K62" s="15">
        <f>( $C62&lt;=$Q$1 )*( $D62 &gt; $Q$1 ) * 1</f>
        <v>0</v>
      </c>
      <c r="L62" s="19"/>
      <c r="M62" s="15" t="s">
        <v>1205</v>
      </c>
      <c r="N62" s="15" t="s">
        <v>211</v>
      </c>
      <c r="O62" s="19">
        <v>61</v>
      </c>
    </row>
    <row r="63" spans="1:15" x14ac:dyDescent="0.2">
      <c r="A63" s="23" t="s">
        <v>1208</v>
      </c>
      <c r="B63" s="15" t="s">
        <v>1206</v>
      </c>
      <c r="C63" s="15">
        <v>18210101</v>
      </c>
      <c r="D63" s="15">
        <v>19570306</v>
      </c>
      <c r="E63" s="15" t="s">
        <v>2404</v>
      </c>
      <c r="F63" s="27" t="s">
        <v>684</v>
      </c>
      <c r="G63" s="27" t="s">
        <v>173</v>
      </c>
      <c r="H63" s="28" t="s">
        <v>608</v>
      </c>
      <c r="I63" s="15" t="s">
        <v>613</v>
      </c>
      <c r="J63" s="27" t="str">
        <f>IF( F63 = "Sovereign", "x", "" )</f>
        <v/>
      </c>
      <c r="K63" s="15">
        <f>( $C63&lt;=$Q$1 )*( $D63 &gt; $Q$1 ) * 1</f>
        <v>0</v>
      </c>
      <c r="L63" s="19"/>
      <c r="M63" s="15" t="s">
        <v>1206</v>
      </c>
      <c r="N63" s="15" t="s">
        <v>1207</v>
      </c>
      <c r="O63" s="19">
        <v>62</v>
      </c>
    </row>
    <row r="64" spans="1:15" x14ac:dyDescent="0.2">
      <c r="A64" s="23" t="s">
        <v>937</v>
      </c>
      <c r="B64" s="15" t="s">
        <v>116</v>
      </c>
      <c r="C64" s="15">
        <v>19601001</v>
      </c>
      <c r="D64" s="15">
        <v>20261231</v>
      </c>
      <c r="E64" t="s">
        <v>2537</v>
      </c>
      <c r="F64" s="27" t="s">
        <v>683</v>
      </c>
      <c r="H64" s="28" t="s">
        <v>608</v>
      </c>
      <c r="I64" s="15" t="s">
        <v>1213</v>
      </c>
      <c r="J64" s="27" t="str">
        <f>IF( F64 = "Sovereign", "x", "" )</f>
        <v>x</v>
      </c>
      <c r="K64" s="15">
        <f>( $C64&lt;=$Q$1 )*( $D64 &gt; $Q$1 ) * 1</f>
        <v>1</v>
      </c>
      <c r="L64" s="19"/>
      <c r="M64" s="15" t="s">
        <v>1211</v>
      </c>
      <c r="N64" s="15" t="s">
        <v>330</v>
      </c>
      <c r="O64" s="19">
        <v>63</v>
      </c>
    </row>
    <row r="65" spans="1:15" x14ac:dyDescent="0.2">
      <c r="A65" s="29" t="s">
        <v>1213</v>
      </c>
      <c r="B65" s="15" t="s">
        <v>116</v>
      </c>
      <c r="C65" s="15">
        <v>19140101</v>
      </c>
      <c r="D65" s="15">
        <v>19601001</v>
      </c>
      <c r="E65" s="15" t="s">
        <v>2404</v>
      </c>
      <c r="F65" s="27" t="s">
        <v>684</v>
      </c>
      <c r="G65" s="27" t="s">
        <v>173</v>
      </c>
      <c r="H65" s="28" t="s">
        <v>608</v>
      </c>
      <c r="I65" s="15" t="s">
        <v>1341</v>
      </c>
      <c r="J65" s="27" t="str">
        <f>IF( F65 = "Sovereign", "x", "" )</f>
        <v/>
      </c>
      <c r="K65" s="15">
        <f>( $C65&lt;=$Q$1 )*( $D65 &gt; $Q$1 ) * 1</f>
        <v>0</v>
      </c>
      <c r="L65" s="19"/>
      <c r="M65" s="15" t="s">
        <v>1212</v>
      </c>
      <c r="N65" s="15" t="s">
        <v>1210</v>
      </c>
      <c r="O65" s="19">
        <v>64</v>
      </c>
    </row>
    <row r="66" spans="1:15" x14ac:dyDescent="0.2">
      <c r="A66" s="23" t="s">
        <v>1219</v>
      </c>
      <c r="B66" s="15" t="s">
        <v>1214</v>
      </c>
      <c r="C66" s="15">
        <v>19000101</v>
      </c>
      <c r="D66" s="15">
        <v>19140101</v>
      </c>
      <c r="E66" s="15" t="s">
        <v>2404</v>
      </c>
      <c r="F66" s="27" t="s">
        <v>684</v>
      </c>
      <c r="G66" s="27" t="s">
        <v>173</v>
      </c>
      <c r="H66" s="28" t="s">
        <v>608</v>
      </c>
      <c r="I66" s="15" t="s">
        <v>613</v>
      </c>
      <c r="J66" s="27" t="str">
        <f>IF( F66 = "Sovereign", "x", "" )</f>
        <v/>
      </c>
      <c r="K66" s="15">
        <f>( $C66&lt;=$Q$1 )*( $D66 &gt; $Q$1 ) * 1</f>
        <v>0</v>
      </c>
      <c r="L66" s="19"/>
      <c r="M66" s="15" t="s">
        <v>1215</v>
      </c>
      <c r="N66" s="15" t="s">
        <v>1218</v>
      </c>
      <c r="O66" s="19">
        <v>65</v>
      </c>
    </row>
    <row r="67" spans="1:15" x14ac:dyDescent="0.2">
      <c r="A67" s="29" t="s">
        <v>1220</v>
      </c>
      <c r="B67" s="15" t="s">
        <v>1216</v>
      </c>
      <c r="C67" s="15">
        <v>19000101</v>
      </c>
      <c r="D67" s="15">
        <v>19140101</v>
      </c>
      <c r="E67" s="15" t="s">
        <v>2404</v>
      </c>
      <c r="F67" s="27" t="s">
        <v>684</v>
      </c>
      <c r="G67" s="27" t="s">
        <v>173</v>
      </c>
      <c r="H67" s="28" t="s">
        <v>608</v>
      </c>
      <c r="I67" s="15" t="s">
        <v>613</v>
      </c>
      <c r="J67" s="27" t="str">
        <f>IF( F67 = "Sovereign", "x", "" )</f>
        <v/>
      </c>
      <c r="K67" s="15">
        <f>( $C67&lt;=$Q$1 )*( $D67 &gt; $Q$1 ) * 1</f>
        <v>0</v>
      </c>
      <c r="L67" s="19"/>
      <c r="M67" s="15" t="s">
        <v>1217</v>
      </c>
      <c r="N67" s="15" t="s">
        <v>1210</v>
      </c>
      <c r="O67" s="19">
        <v>66</v>
      </c>
    </row>
    <row r="68" spans="1:15" x14ac:dyDescent="0.2">
      <c r="A68" s="29" t="s">
        <v>1346</v>
      </c>
      <c r="B68" s="15" t="s">
        <v>1284</v>
      </c>
      <c r="C68" s="15">
        <v>19581128</v>
      </c>
      <c r="D68" s="15">
        <v>19600811</v>
      </c>
      <c r="E68" s="15" t="s">
        <v>2408</v>
      </c>
      <c r="F68" s="27" t="s">
        <v>684</v>
      </c>
      <c r="G68" s="27" t="s">
        <v>184</v>
      </c>
      <c r="H68" s="28" t="s">
        <v>608</v>
      </c>
      <c r="I68" s="15" t="s">
        <v>895</v>
      </c>
      <c r="J68" s="27" t="str">
        <f>IF( F68 = "Sovereign", "x", "" )</f>
        <v/>
      </c>
      <c r="K68" s="15">
        <f>( $C68&lt;=$Q$1 )*( $D68 &gt; $Q$1 ) * 1</f>
        <v>0</v>
      </c>
      <c r="L68" s="19" t="s">
        <v>624</v>
      </c>
      <c r="M68" s="19"/>
      <c r="O68" s="19">
        <v>67</v>
      </c>
    </row>
    <row r="69" spans="1:15" x14ac:dyDescent="0.2">
      <c r="A69" s="29" t="s">
        <v>938</v>
      </c>
      <c r="B69" s="15" t="s">
        <v>49</v>
      </c>
      <c r="C69" s="15">
        <v>19681012</v>
      </c>
      <c r="D69" s="15">
        <v>20261231</v>
      </c>
      <c r="E69" t="s">
        <v>2538</v>
      </c>
      <c r="F69" s="27" t="s">
        <v>683</v>
      </c>
      <c r="H69" s="28" t="s">
        <v>608</v>
      </c>
      <c r="I69" s="15" t="s">
        <v>1349</v>
      </c>
      <c r="J69" s="27" t="str">
        <f>IF( F69 = "Sovereign", "x", "" )</f>
        <v>x</v>
      </c>
      <c r="K69" s="15">
        <f>( $C69&lt;=$Q$1 )*( $D69 &gt; $Q$1 ) * 1</f>
        <v>1</v>
      </c>
      <c r="L69" s="19"/>
      <c r="M69" s="15" t="s">
        <v>1225</v>
      </c>
      <c r="N69" s="15" t="s">
        <v>250</v>
      </c>
      <c r="O69" s="19">
        <v>68</v>
      </c>
    </row>
    <row r="70" spans="1:15" x14ac:dyDescent="0.2">
      <c r="A70" s="29" t="s">
        <v>1349</v>
      </c>
      <c r="B70" s="15" t="s">
        <v>1223</v>
      </c>
      <c r="C70" s="15">
        <v>19590730</v>
      </c>
      <c r="D70" s="15">
        <v>19681012</v>
      </c>
      <c r="E70" s="15" t="s">
        <v>2412</v>
      </c>
      <c r="F70" s="27" t="s">
        <v>684</v>
      </c>
      <c r="G70" s="27" t="s">
        <v>152</v>
      </c>
      <c r="H70" s="28" t="s">
        <v>608</v>
      </c>
      <c r="I70" s="15" t="s">
        <v>1350</v>
      </c>
      <c r="J70" s="27" t="str">
        <f>IF( F70 = "Sovereign", "x", "" )</f>
        <v/>
      </c>
      <c r="K70" s="15">
        <f>( $C70&lt;=$Q$1 )*( $D70 &gt; $Q$1 ) * 1</f>
        <v>0</v>
      </c>
      <c r="L70" s="19"/>
      <c r="M70" s="15" t="s">
        <v>1225</v>
      </c>
      <c r="N70" s="15" t="s">
        <v>250</v>
      </c>
      <c r="O70" s="19">
        <v>69</v>
      </c>
    </row>
    <row r="71" spans="1:15" x14ac:dyDescent="0.2">
      <c r="A71" s="29" t="s">
        <v>1350</v>
      </c>
      <c r="B71" s="15" t="s">
        <v>1223</v>
      </c>
      <c r="C71" s="15">
        <v>19000627</v>
      </c>
      <c r="D71" s="15">
        <v>19590730</v>
      </c>
      <c r="E71" s="15" t="s">
        <v>2412</v>
      </c>
      <c r="F71" s="27" t="s">
        <v>684</v>
      </c>
      <c r="G71" s="27" t="s">
        <v>152</v>
      </c>
      <c r="H71" s="28" t="s">
        <v>608</v>
      </c>
      <c r="I71" s="15" t="s">
        <v>613</v>
      </c>
      <c r="J71" s="27" t="str">
        <f>IF( F71 = "Sovereign", "x", "" )</f>
        <v/>
      </c>
      <c r="K71" s="15">
        <f>( $C71&lt;=$Q$1 )*( $D71 &gt; $Q$1 ) * 1</f>
        <v>0</v>
      </c>
      <c r="L71" s="19"/>
      <c r="M71" s="15" t="s">
        <v>1223</v>
      </c>
      <c r="N71" s="15" t="s">
        <v>1224</v>
      </c>
      <c r="O71" s="19">
        <v>70</v>
      </c>
    </row>
    <row r="72" spans="1:15" x14ac:dyDescent="0.2">
      <c r="A72" s="29" t="s">
        <v>2362</v>
      </c>
      <c r="B72" s="15" t="s">
        <v>139</v>
      </c>
      <c r="C72" s="15">
        <v>19750712</v>
      </c>
      <c r="D72" s="15">
        <v>20261231</v>
      </c>
      <c r="E72" t="s">
        <v>2539</v>
      </c>
      <c r="F72" s="27" t="s">
        <v>683</v>
      </c>
      <c r="H72" s="28" t="s">
        <v>608</v>
      </c>
      <c r="I72" s="15" t="s">
        <v>1032</v>
      </c>
      <c r="J72" s="27" t="str">
        <f>IF( F72 = "Sovereign", "x", "" )</f>
        <v>x</v>
      </c>
      <c r="K72" s="15">
        <f>( $C72&lt;=$Q$1 )*( $D72 &gt; $Q$1 ) * 1</f>
        <v>1</v>
      </c>
      <c r="L72" s="19"/>
      <c r="M72" s="15" t="s">
        <v>1033</v>
      </c>
      <c r="N72" s="15" t="s">
        <v>353</v>
      </c>
      <c r="O72" s="19">
        <v>71</v>
      </c>
    </row>
    <row r="73" spans="1:15" x14ac:dyDescent="0.2">
      <c r="A73" s="29" t="s">
        <v>1032</v>
      </c>
      <c r="B73" s="15" t="s">
        <v>139</v>
      </c>
      <c r="C73" s="15">
        <v>14850101</v>
      </c>
      <c r="D73" s="15">
        <v>19750712</v>
      </c>
      <c r="E73" s="15" t="s">
        <v>2410</v>
      </c>
      <c r="F73" s="27" t="s">
        <v>684</v>
      </c>
      <c r="G73" s="27" t="s">
        <v>128</v>
      </c>
      <c r="H73" s="28" t="s">
        <v>608</v>
      </c>
      <c r="I73" s="15" t="s">
        <v>613</v>
      </c>
      <c r="J73" s="27" t="str">
        <f>IF( F73 = "Sovereign", "x", "" )</f>
        <v/>
      </c>
      <c r="K73" s="15">
        <f>( $C73&lt;=$Q$1 )*( $D73 &gt; $Q$1 ) * 1</f>
        <v>0</v>
      </c>
      <c r="L73" s="19"/>
      <c r="M73" s="15" t="s">
        <v>1031</v>
      </c>
      <c r="N73" s="15" t="s">
        <v>353</v>
      </c>
      <c r="O73" s="19">
        <v>72</v>
      </c>
    </row>
    <row r="74" spans="1:15" x14ac:dyDescent="0.2">
      <c r="A74" s="29" t="s">
        <v>904</v>
      </c>
      <c r="B74" s="15" t="s">
        <v>142</v>
      </c>
      <c r="C74" s="15">
        <v>19760629</v>
      </c>
      <c r="D74" s="15">
        <v>20261231</v>
      </c>
      <c r="E74" t="s">
        <v>2540</v>
      </c>
      <c r="F74" s="27" t="s">
        <v>683</v>
      </c>
      <c r="H74" s="28" t="s">
        <v>608</v>
      </c>
      <c r="I74" s="15" t="s">
        <v>1036</v>
      </c>
      <c r="J74" s="27" t="str">
        <f>IF( F74 = "Sovereign", "x", "" )</f>
        <v>x</v>
      </c>
      <c r="K74" s="15">
        <f>( $C74&lt;=$Q$1 )*( $D74 &gt; $Q$1 ) * 1</f>
        <v>1</v>
      </c>
      <c r="L74" s="19"/>
      <c r="M74" s="15" t="s">
        <v>1034</v>
      </c>
      <c r="N74" s="15" t="s">
        <v>357</v>
      </c>
      <c r="O74" s="19">
        <v>73</v>
      </c>
    </row>
    <row r="75" spans="1:15" x14ac:dyDescent="0.2">
      <c r="A75" s="29" t="s">
        <v>1036</v>
      </c>
      <c r="B75" s="15" t="s">
        <v>142</v>
      </c>
      <c r="C75" s="15">
        <v>18140430</v>
      </c>
      <c r="D75" s="15">
        <v>19760629</v>
      </c>
      <c r="E75" s="15" t="s">
        <v>2404</v>
      </c>
      <c r="F75" s="27" t="s">
        <v>684</v>
      </c>
      <c r="G75" s="27" t="s">
        <v>173</v>
      </c>
      <c r="H75" s="28" t="s">
        <v>608</v>
      </c>
      <c r="I75" s="15" t="s">
        <v>1037</v>
      </c>
      <c r="J75" s="27" t="str">
        <f>IF( F75 = "Sovereign", "x", "" )</f>
        <v/>
      </c>
      <c r="K75" s="15">
        <f>( $C75&lt;=$Q$1 )*( $D75 &gt; $Q$1 ) * 1</f>
        <v>0</v>
      </c>
      <c r="L75" s="19"/>
      <c r="M75" s="15" t="s">
        <v>1035</v>
      </c>
      <c r="N75" s="15" t="s">
        <v>357</v>
      </c>
      <c r="O75" s="19">
        <v>74</v>
      </c>
    </row>
    <row r="76" spans="1:15" x14ac:dyDescent="0.2">
      <c r="A76" s="29" t="s">
        <v>1037</v>
      </c>
      <c r="B76" s="15" t="s">
        <v>142</v>
      </c>
      <c r="C76" s="15">
        <v>17561101</v>
      </c>
      <c r="D76" s="15">
        <v>18140430</v>
      </c>
      <c r="E76" s="15" t="s">
        <v>2408</v>
      </c>
      <c r="F76" s="27" t="s">
        <v>684</v>
      </c>
      <c r="G76" s="27" t="s">
        <v>184</v>
      </c>
      <c r="H76" s="28" t="s">
        <v>608</v>
      </c>
      <c r="I76" s="15" t="s">
        <v>613</v>
      </c>
      <c r="J76" s="27" t="str">
        <f>IF( F76 = "Sovereign", "x", "" )</f>
        <v/>
      </c>
      <c r="K76" s="15">
        <f>( $C76&lt;=$Q$1 )*( $D76 &gt; $Q$1 ) * 1</f>
        <v>0</v>
      </c>
      <c r="L76" s="19"/>
      <c r="M76" s="15" t="s">
        <v>1035</v>
      </c>
      <c r="N76" s="15" t="s">
        <v>357</v>
      </c>
      <c r="O76" s="19">
        <v>75</v>
      </c>
    </row>
    <row r="77" spans="1:15" x14ac:dyDescent="0.2">
      <c r="A77" s="29" t="s">
        <v>905</v>
      </c>
      <c r="B77" s="15" t="s">
        <v>4</v>
      </c>
      <c r="C77" s="15">
        <v>19751111</v>
      </c>
      <c r="D77" s="15">
        <v>20261231</v>
      </c>
      <c r="E77" t="s">
        <v>2541</v>
      </c>
      <c r="F77" s="27" t="s">
        <v>683</v>
      </c>
      <c r="H77" s="28" t="s">
        <v>608</v>
      </c>
      <c r="I77" s="15" t="s">
        <v>1358</v>
      </c>
      <c r="J77" s="27" t="str">
        <f>IF( F77 = "Sovereign", "x", "" )</f>
        <v>x</v>
      </c>
      <c r="K77" s="15">
        <f>( $C77&lt;=$Q$1 )*( $D77 &gt; $Q$1 ) * 1</f>
        <v>1</v>
      </c>
      <c r="L77" s="19"/>
      <c r="M77" s="15" t="s">
        <v>1051</v>
      </c>
      <c r="N77" s="15" t="s">
        <v>195</v>
      </c>
      <c r="O77" s="19">
        <v>76</v>
      </c>
    </row>
    <row r="78" spans="1:15" x14ac:dyDescent="0.2">
      <c r="A78" s="29" t="s">
        <v>1358</v>
      </c>
      <c r="B78" s="15" t="s">
        <v>1050</v>
      </c>
      <c r="C78" s="15">
        <v>18910611</v>
      </c>
      <c r="D78" s="15">
        <v>19751111</v>
      </c>
      <c r="E78" s="15" t="s">
        <v>2410</v>
      </c>
      <c r="F78" s="27" t="s">
        <v>684</v>
      </c>
      <c r="G78" s="27" t="s">
        <v>128</v>
      </c>
      <c r="H78" s="28" t="s">
        <v>608</v>
      </c>
      <c r="I78" s="15" t="s">
        <v>613</v>
      </c>
      <c r="J78" s="27" t="str">
        <f>IF( F78 = "Sovereign", "x", "" )</f>
        <v/>
      </c>
      <c r="K78" s="15">
        <f>( $C78&lt;=$Q$1 )*( $D78 &gt; $Q$1 ) * 1</f>
        <v>0</v>
      </c>
      <c r="L78" s="19"/>
      <c r="M78" s="15" t="s">
        <v>1049</v>
      </c>
      <c r="N78" s="15" t="s">
        <v>195</v>
      </c>
      <c r="O78" s="19">
        <v>77</v>
      </c>
    </row>
    <row r="79" spans="1:15" x14ac:dyDescent="0.2">
      <c r="A79" s="29" t="s">
        <v>1329</v>
      </c>
      <c r="B79" s="15" t="s">
        <v>130</v>
      </c>
      <c r="C79" s="15">
        <v>19600630</v>
      </c>
      <c r="D79" s="15">
        <v>20261231</v>
      </c>
      <c r="E79" t="s">
        <v>2526</v>
      </c>
      <c r="F79" s="27" t="s">
        <v>683</v>
      </c>
      <c r="H79" s="28" t="s">
        <v>608</v>
      </c>
      <c r="I79" s="15" t="s">
        <v>1079</v>
      </c>
      <c r="J79" s="27" t="str">
        <f>IF( F79 = "Sovereign", "x", "" )</f>
        <v>x</v>
      </c>
      <c r="K79" s="15">
        <f>( $C79&lt;=$Q$1 )*( $D79 &gt; $Q$1 ) * 1</f>
        <v>1</v>
      </c>
      <c r="L79" s="19"/>
      <c r="M79" s="15" t="s">
        <v>130</v>
      </c>
      <c r="N79" s="15" t="s">
        <v>1078</v>
      </c>
      <c r="O79" s="19">
        <v>78</v>
      </c>
    </row>
    <row r="80" spans="1:15" x14ac:dyDescent="0.2">
      <c r="A80" s="15" t="s">
        <v>1077</v>
      </c>
      <c r="B80" s="15" t="s">
        <v>1072</v>
      </c>
      <c r="C80" s="15">
        <v>19081115</v>
      </c>
      <c r="D80" s="15">
        <v>19600630</v>
      </c>
      <c r="E80" t="s">
        <v>2527</v>
      </c>
      <c r="F80" s="27" t="s">
        <v>684</v>
      </c>
      <c r="G80" s="27" t="s">
        <v>15</v>
      </c>
      <c r="H80" s="28" t="s">
        <v>608</v>
      </c>
      <c r="I80" s="15" t="s">
        <v>1076</v>
      </c>
      <c r="J80" s="27" t="str">
        <f>IF( F80 = "Sovereign", "x", "" )</f>
        <v/>
      </c>
      <c r="K80" s="15">
        <f>( $C80&lt;=$Q$1 )*( $D80 &gt; $Q$1 ) * 1</f>
        <v>0</v>
      </c>
      <c r="L80" s="19"/>
      <c r="M80" s="15" t="s">
        <v>1072</v>
      </c>
      <c r="N80" s="15" t="s">
        <v>1075</v>
      </c>
      <c r="O80" s="19">
        <v>79</v>
      </c>
    </row>
    <row r="81" spans="1:15" x14ac:dyDescent="0.2">
      <c r="A81" s="15" t="s">
        <v>1365</v>
      </c>
      <c r="B81" s="15" t="s">
        <v>1073</v>
      </c>
      <c r="C81" s="15">
        <v>18850701</v>
      </c>
      <c r="D81" s="15">
        <v>19081115</v>
      </c>
      <c r="E81" t="s">
        <v>2528</v>
      </c>
      <c r="F81" s="27" t="s">
        <v>683</v>
      </c>
      <c r="H81" s="28" t="s">
        <v>608</v>
      </c>
      <c r="I81" s="15" t="s">
        <v>613</v>
      </c>
      <c r="J81" s="27" t="str">
        <f>IF( F81 = "Sovereign", "x", "" )</f>
        <v>x</v>
      </c>
      <c r="K81" s="15">
        <f>( $C81&lt;=$Q$1 )*( $D81 &gt; $Q$1 ) * 1</f>
        <v>0</v>
      </c>
      <c r="L81" s="19"/>
      <c r="M81" s="15" t="s">
        <v>1073</v>
      </c>
      <c r="N81" s="15" t="s">
        <v>1074</v>
      </c>
      <c r="O81" s="19">
        <v>80</v>
      </c>
    </row>
    <row r="82" spans="1:15" x14ac:dyDescent="0.2">
      <c r="A82" s="29" t="s">
        <v>912</v>
      </c>
      <c r="B82" s="15" t="s">
        <v>28</v>
      </c>
      <c r="C82" s="15">
        <v>19611001</v>
      </c>
      <c r="D82" s="15">
        <v>20261231</v>
      </c>
      <c r="E82" t="s">
        <v>2529</v>
      </c>
      <c r="F82" s="27" t="s">
        <v>683</v>
      </c>
      <c r="H82" s="28" t="s">
        <v>608</v>
      </c>
      <c r="I82" s="15" t="s">
        <v>1138</v>
      </c>
      <c r="J82" s="27" t="str">
        <f>IF( F82 = "Sovereign", "x", "" )</f>
        <v>x</v>
      </c>
      <c r="K82" s="15">
        <f>( $C82&lt;=$Q$1 )*( $D82 &gt; $Q$1 ) * 1</f>
        <v>1</v>
      </c>
      <c r="L82" s="19"/>
      <c r="M82" s="15" t="s">
        <v>1134</v>
      </c>
      <c r="N82" s="15" t="s">
        <v>225</v>
      </c>
      <c r="O82" s="19">
        <v>81</v>
      </c>
    </row>
    <row r="83" spans="1:15" x14ac:dyDescent="0.2">
      <c r="A83" s="29" t="s">
        <v>1137</v>
      </c>
      <c r="B83" s="15" t="s">
        <v>1367</v>
      </c>
      <c r="C83" s="15">
        <v>19160720</v>
      </c>
      <c r="D83" s="15">
        <v>19611001</v>
      </c>
      <c r="E83" s="15" t="s">
        <v>2404</v>
      </c>
      <c r="F83" s="27" t="s">
        <v>684</v>
      </c>
      <c r="G83" s="27" t="s">
        <v>173</v>
      </c>
      <c r="H83" s="28" t="s">
        <v>608</v>
      </c>
      <c r="I83" s="15" t="s">
        <v>1135</v>
      </c>
      <c r="J83" s="27" t="str">
        <f>IF( F83 = "Sovereign", "x", "" )</f>
        <v/>
      </c>
      <c r="K83" s="15">
        <f>( $C83&lt;=$Q$1 )*( $D83 &gt; $Q$1 ) * 1</f>
        <v>0</v>
      </c>
      <c r="L83" s="19"/>
      <c r="M83" s="15" t="s">
        <v>1132</v>
      </c>
      <c r="N83" s="15" t="s">
        <v>1133</v>
      </c>
      <c r="O83" s="19">
        <v>82</v>
      </c>
    </row>
    <row r="84" spans="1:15" x14ac:dyDescent="0.2">
      <c r="A84" s="29" t="s">
        <v>1136</v>
      </c>
      <c r="B84" s="15" t="s">
        <v>1131</v>
      </c>
      <c r="C84" s="15">
        <v>19160720</v>
      </c>
      <c r="D84" s="15">
        <v>19600101</v>
      </c>
      <c r="E84" s="15" t="s">
        <v>2408</v>
      </c>
      <c r="F84" s="27" t="s">
        <v>684</v>
      </c>
      <c r="G84" s="27" t="s">
        <v>184</v>
      </c>
      <c r="H84" s="28" t="s">
        <v>608</v>
      </c>
      <c r="I84" s="15" t="s">
        <v>1135</v>
      </c>
      <c r="J84" s="27" t="str">
        <f>IF( F84 = "Sovereign", "x", "" )</f>
        <v/>
      </c>
      <c r="K84" s="15">
        <f>( $C84&lt;=$Q$1 )*( $D84 &gt; $Q$1 ) * 1</f>
        <v>0</v>
      </c>
      <c r="L84" s="19"/>
      <c r="M84" s="15" t="s">
        <v>1131</v>
      </c>
      <c r="N84" s="15" t="s">
        <v>225</v>
      </c>
      <c r="O84" s="19">
        <v>83</v>
      </c>
    </row>
    <row r="85" spans="1:15" x14ac:dyDescent="0.2">
      <c r="A85" s="29" t="s">
        <v>1135</v>
      </c>
      <c r="B85" s="15" t="s">
        <v>1129</v>
      </c>
      <c r="C85" s="15">
        <v>18840817</v>
      </c>
      <c r="D85" s="15">
        <v>19160720</v>
      </c>
      <c r="E85" s="15" t="s">
        <v>2407</v>
      </c>
      <c r="F85" s="27" t="s">
        <v>684</v>
      </c>
      <c r="G85" s="27" t="s">
        <v>57</v>
      </c>
      <c r="H85" s="28" t="s">
        <v>608</v>
      </c>
      <c r="I85" s="15" t="s">
        <v>613</v>
      </c>
      <c r="J85" s="27" t="str">
        <f>IF( F85 = "Sovereign", "x", "" )</f>
        <v/>
      </c>
      <c r="K85" s="15">
        <f>( $C85&lt;=$Q$1 )*( $D85 &gt; $Q$1 ) * 1</f>
        <v>0</v>
      </c>
      <c r="L85" s="19"/>
      <c r="M85" s="15" t="s">
        <v>1129</v>
      </c>
      <c r="N85" s="15" t="s">
        <v>1130</v>
      </c>
      <c r="O85" s="19">
        <v>84</v>
      </c>
    </row>
    <row r="86" spans="1:15" x14ac:dyDescent="0.2">
      <c r="A86" s="29" t="s">
        <v>910</v>
      </c>
      <c r="B86" s="15" t="s">
        <v>109</v>
      </c>
      <c r="C86" s="15">
        <v>19900321</v>
      </c>
      <c r="D86" s="32">
        <v>20261231</v>
      </c>
      <c r="E86" t="s">
        <v>2530</v>
      </c>
      <c r="F86" s="27" t="s">
        <v>683</v>
      </c>
      <c r="H86" s="28" t="s">
        <v>608</v>
      </c>
      <c r="I86" s="15" t="s">
        <v>1116</v>
      </c>
      <c r="J86" s="27" t="str">
        <f>IF( F86 = "Sovereign", "x", "" )</f>
        <v>x</v>
      </c>
      <c r="K86" s="15">
        <f>( $C86&lt;=$Q$1 )*( $D86 &gt; $Q$1 ) * 1</f>
        <v>1</v>
      </c>
      <c r="L86" s="19"/>
      <c r="M86" s="15" t="s">
        <v>1114</v>
      </c>
      <c r="N86" s="15" t="s">
        <v>324</v>
      </c>
      <c r="O86" s="19">
        <v>85</v>
      </c>
    </row>
    <row r="87" spans="1:15" x14ac:dyDescent="0.2">
      <c r="A87" s="29" t="s">
        <v>1116</v>
      </c>
      <c r="B87" s="15" t="s">
        <v>1113</v>
      </c>
      <c r="C87" s="15">
        <v>19150709</v>
      </c>
      <c r="D87" s="15">
        <v>19900321</v>
      </c>
      <c r="E87" t="s">
        <v>2531</v>
      </c>
      <c r="F87" s="27" t="s">
        <v>684</v>
      </c>
      <c r="G87" s="27" t="s">
        <v>149</v>
      </c>
      <c r="H87" s="28" t="s">
        <v>608</v>
      </c>
      <c r="I87" s="15" t="s">
        <v>1115</v>
      </c>
      <c r="J87" s="27" t="str">
        <f>IF( F87 = "Sovereign", "x", "" )</f>
        <v/>
      </c>
      <c r="K87" s="15">
        <f>( $C87&lt;=$Q$1 )*( $D87 &gt; $Q$1 ) * 1</f>
        <v>0</v>
      </c>
      <c r="L87" s="19"/>
      <c r="M87" s="15" t="s">
        <v>1113</v>
      </c>
      <c r="N87" s="15" t="s">
        <v>324</v>
      </c>
      <c r="O87" s="19">
        <v>86</v>
      </c>
    </row>
    <row r="88" spans="1:15" x14ac:dyDescent="0.2">
      <c r="A88" s="29" t="s">
        <v>1115</v>
      </c>
      <c r="B88" s="15" t="s">
        <v>1111</v>
      </c>
      <c r="C88" s="15">
        <v>18840807</v>
      </c>
      <c r="D88" s="15">
        <v>19150709</v>
      </c>
      <c r="E88" s="15" t="s">
        <v>2407</v>
      </c>
      <c r="F88" s="27" t="s">
        <v>684</v>
      </c>
      <c r="G88" s="27" t="s">
        <v>57</v>
      </c>
      <c r="H88" s="28" t="s">
        <v>608</v>
      </c>
      <c r="I88" s="15" t="s">
        <v>613</v>
      </c>
      <c r="J88" s="27" t="str">
        <f>IF( F88 = "Sovereign", "x", "" )</f>
        <v/>
      </c>
      <c r="K88" s="15">
        <f>( $C88&lt;=$Q$1 )*( $D88 &gt; $Q$1 ) * 1</f>
        <v>0</v>
      </c>
      <c r="L88" s="19"/>
      <c r="M88" s="15" t="s">
        <v>1111</v>
      </c>
      <c r="N88" s="15" t="s">
        <v>1112</v>
      </c>
      <c r="O88" s="19">
        <v>87</v>
      </c>
    </row>
    <row r="89" spans="1:15" x14ac:dyDescent="0.2">
      <c r="A89" s="29" t="s">
        <v>919</v>
      </c>
      <c r="B89" s="15" t="s">
        <v>21</v>
      </c>
      <c r="C89" s="15">
        <v>19660930</v>
      </c>
      <c r="D89" s="15">
        <v>20261231</v>
      </c>
      <c r="E89" t="s">
        <v>2532</v>
      </c>
      <c r="F89" s="27" t="s">
        <v>683</v>
      </c>
      <c r="H89" s="28" t="s">
        <v>608</v>
      </c>
      <c r="I89" s="15" t="s">
        <v>1370</v>
      </c>
      <c r="J89" s="27" t="str">
        <f>IF( F89 = "Sovereign", "x", "" )</f>
        <v>x</v>
      </c>
      <c r="K89" s="15">
        <f>( $C89&lt;=$Q$1 )*( $D89 &gt; $Q$1 ) * 1</f>
        <v>1</v>
      </c>
      <c r="L89" s="19"/>
      <c r="N89" s="15" t="s">
        <v>215</v>
      </c>
      <c r="O89" s="19">
        <v>88</v>
      </c>
    </row>
    <row r="90" spans="1:15" x14ac:dyDescent="0.2">
      <c r="A90" s="29" t="s">
        <v>1370</v>
      </c>
      <c r="B90" s="15" t="s">
        <v>1389</v>
      </c>
      <c r="C90" s="15">
        <v>18850331</v>
      </c>
      <c r="D90" s="15">
        <v>19660930</v>
      </c>
      <c r="E90" s="15" t="s">
        <v>2404</v>
      </c>
      <c r="F90" s="27" t="s">
        <v>684</v>
      </c>
      <c r="G90" s="27" t="s">
        <v>173</v>
      </c>
      <c r="H90" s="28" t="s">
        <v>608</v>
      </c>
      <c r="I90" s="15" t="s">
        <v>613</v>
      </c>
      <c r="J90" s="27" t="str">
        <f>IF( F90 = "Sovereign", "x", "" )</f>
        <v/>
      </c>
      <c r="K90" s="15">
        <f>( $C90&lt;=$Q$1 )*( $D90 &gt; $Q$1 ) * 1</f>
        <v>0</v>
      </c>
      <c r="L90" s="19"/>
      <c r="N90" s="15" t="s">
        <v>215</v>
      </c>
      <c r="O90" s="19">
        <v>89</v>
      </c>
    </row>
    <row r="91" spans="1:15" x14ac:dyDescent="0.2">
      <c r="A91" s="29" t="s">
        <v>1371</v>
      </c>
      <c r="B91" s="15" t="s">
        <v>149</v>
      </c>
      <c r="C91" s="15">
        <v>19100531</v>
      </c>
      <c r="D91" s="15">
        <v>20261231</v>
      </c>
      <c r="E91" t="s">
        <v>2533</v>
      </c>
      <c r="F91" s="27" t="s">
        <v>683</v>
      </c>
      <c r="H91" s="28" t="s">
        <v>608</v>
      </c>
      <c r="I91" s="15" t="s">
        <v>1394</v>
      </c>
      <c r="J91" s="27" t="str">
        <f>IF( F91 = "Sovereign", "x", "" )</f>
        <v>x</v>
      </c>
      <c r="K91" s="15">
        <f>( $C91&lt;=$Q$1 )*( $D91 &gt; $Q$1 ) * 1</f>
        <v>1</v>
      </c>
      <c r="L91" s="19"/>
      <c r="N91" s="15" t="s">
        <v>362</v>
      </c>
      <c r="O91" s="19">
        <v>90</v>
      </c>
    </row>
    <row r="92" spans="1:15" x14ac:dyDescent="0.2">
      <c r="A92" s="29" t="s">
        <v>922</v>
      </c>
      <c r="B92" s="15" t="s">
        <v>52</v>
      </c>
      <c r="C92" s="15">
        <v>19680924</v>
      </c>
      <c r="D92" s="15">
        <v>20261231</v>
      </c>
      <c r="E92" t="s">
        <v>2534</v>
      </c>
      <c r="F92" s="27" t="s">
        <v>683</v>
      </c>
      <c r="H92" s="28" t="s">
        <v>608</v>
      </c>
      <c r="I92" s="26" t="s">
        <v>1379</v>
      </c>
      <c r="J92" s="27" t="str">
        <f>IF( F92 = "Sovereign", "x", "" )</f>
        <v>x</v>
      </c>
      <c r="K92" s="15">
        <f>( $C92&lt;=$Q$1 )*( $D92 &gt; $Q$1 ) * 1</f>
        <v>1</v>
      </c>
      <c r="L92" s="19"/>
      <c r="N92" s="15" t="s">
        <v>253</v>
      </c>
      <c r="O92" s="19">
        <v>91</v>
      </c>
    </row>
    <row r="93" spans="1:15" x14ac:dyDescent="0.2">
      <c r="A93" s="26" t="s">
        <v>1379</v>
      </c>
      <c r="B93" s="15" t="s">
        <v>1380</v>
      </c>
      <c r="C93" s="15">
        <v>19030101</v>
      </c>
      <c r="D93" s="15">
        <v>19680924</v>
      </c>
      <c r="E93" s="15" t="s">
        <v>2404</v>
      </c>
      <c r="F93" s="27" t="s">
        <v>684</v>
      </c>
      <c r="G93" s="27" t="s">
        <v>173</v>
      </c>
      <c r="H93" s="28" t="s">
        <v>608</v>
      </c>
      <c r="I93" s="15" t="s">
        <v>613</v>
      </c>
      <c r="J93" s="27" t="str">
        <f>IF( F93 = "Sovereign", "x", "" )</f>
        <v/>
      </c>
      <c r="K93" s="15">
        <f>( $C93&lt;=$Q$1 )*( $D93 &gt; $Q$1 ) * 1</f>
        <v>0</v>
      </c>
      <c r="L93" s="19"/>
      <c r="M93" s="19"/>
      <c r="O93" s="19">
        <v>92</v>
      </c>
    </row>
    <row r="94" spans="1:15" x14ac:dyDescent="0.2">
      <c r="A94" s="29" t="s">
        <v>1376</v>
      </c>
      <c r="B94" s="15" t="s">
        <v>1375</v>
      </c>
      <c r="C94" s="15">
        <v>18430504</v>
      </c>
      <c r="D94" s="15">
        <v>19100531</v>
      </c>
      <c r="E94" s="15" t="s">
        <v>2404</v>
      </c>
      <c r="F94" s="27" t="s">
        <v>684</v>
      </c>
      <c r="G94" s="27" t="s">
        <v>173</v>
      </c>
      <c r="H94" s="28" t="s">
        <v>608</v>
      </c>
      <c r="I94" s="15" t="s">
        <v>613</v>
      </c>
      <c r="J94" s="27" t="str">
        <f>IF( F94 = "Sovereign", "x", "" )</f>
        <v/>
      </c>
      <c r="K94" s="15">
        <f>( $C94&lt;=$Q$1 )*( $D94 &gt; $Q$1 ) * 1</f>
        <v>0</v>
      </c>
      <c r="L94" s="19"/>
      <c r="M94" s="19"/>
      <c r="O94" s="19">
        <v>93</v>
      </c>
    </row>
    <row r="95" spans="1:15" x14ac:dyDescent="0.2">
      <c r="A95" s="29" t="s">
        <v>908</v>
      </c>
      <c r="B95" s="15" t="s">
        <v>87</v>
      </c>
      <c r="C95" s="15">
        <v>19661004</v>
      </c>
      <c r="D95" s="15">
        <v>20261231</v>
      </c>
      <c r="E95" t="s">
        <v>2535</v>
      </c>
      <c r="F95" s="27" t="s">
        <v>683</v>
      </c>
      <c r="H95" s="28" t="s">
        <v>608</v>
      </c>
      <c r="I95" s="15" t="s">
        <v>1098</v>
      </c>
      <c r="J95" s="27" t="str">
        <f>IF( F95 = "Sovereign", "x", "" )</f>
        <v>x</v>
      </c>
      <c r="K95" s="15">
        <f>( $C95&lt;=$Q$1 )*( $D95 &gt; $Q$1 ) * 1</f>
        <v>1</v>
      </c>
      <c r="L95" s="19"/>
      <c r="M95" s="15" t="s">
        <v>1099</v>
      </c>
      <c r="N95" s="15" t="s">
        <v>302</v>
      </c>
      <c r="O95" s="19">
        <v>94</v>
      </c>
    </row>
    <row r="96" spans="1:15" x14ac:dyDescent="0.2">
      <c r="A96" s="29" t="s">
        <v>1373</v>
      </c>
      <c r="B96" s="15" t="s">
        <v>1096</v>
      </c>
      <c r="C96" s="15">
        <v>18840318</v>
      </c>
      <c r="D96" s="15">
        <v>19661004</v>
      </c>
      <c r="E96" s="15" t="s">
        <v>2404</v>
      </c>
      <c r="F96" s="27" t="s">
        <v>684</v>
      </c>
      <c r="G96" s="27" t="s">
        <v>173</v>
      </c>
      <c r="H96" s="28" t="s">
        <v>608</v>
      </c>
      <c r="I96" s="15" t="s">
        <v>1105</v>
      </c>
      <c r="J96" s="27" t="str">
        <f>IF( F96 = "Sovereign", "x", "" )</f>
        <v/>
      </c>
      <c r="K96" s="15">
        <f>( $C96&lt;=$Q$1 )*( $D96 &gt; $Q$1 ) * 1</f>
        <v>0</v>
      </c>
      <c r="L96" s="19"/>
      <c r="M96" s="15" t="s">
        <v>1097</v>
      </c>
      <c r="N96" s="15" t="s">
        <v>302</v>
      </c>
      <c r="O96" s="19">
        <v>95</v>
      </c>
    </row>
    <row r="97" spans="1:15" x14ac:dyDescent="0.2">
      <c r="A97" s="29" t="s">
        <v>1105</v>
      </c>
      <c r="B97" s="15" t="s">
        <v>1103</v>
      </c>
      <c r="C97" s="15">
        <v>18060108</v>
      </c>
      <c r="D97" s="15">
        <v>19100531</v>
      </c>
      <c r="E97" s="15" t="s">
        <v>2404</v>
      </c>
      <c r="F97" s="27" t="s">
        <v>684</v>
      </c>
      <c r="G97" s="27" t="s">
        <v>173</v>
      </c>
      <c r="H97" s="28" t="s">
        <v>608</v>
      </c>
      <c r="I97" s="15" t="s">
        <v>613</v>
      </c>
      <c r="J97" s="27" t="str">
        <f>IF( F97 = "Sovereign", "x", "" )</f>
        <v/>
      </c>
      <c r="K97" s="15">
        <f>( $C97&lt;=$Q$1 )*( $D97 &gt; $Q$1 ) * 1</f>
        <v>0</v>
      </c>
      <c r="L97" s="19"/>
      <c r="M97" s="15" t="s">
        <v>1103</v>
      </c>
      <c r="N97" s="15" t="s">
        <v>1104</v>
      </c>
      <c r="O97" s="19">
        <v>96</v>
      </c>
    </row>
    <row r="98" spans="1:15" x14ac:dyDescent="0.2">
      <c r="A98" s="29" t="s">
        <v>1393</v>
      </c>
      <c r="B98" s="15" t="s">
        <v>1390</v>
      </c>
      <c r="C98" s="15">
        <v>19020531</v>
      </c>
      <c r="D98" s="15">
        <v>19100531</v>
      </c>
      <c r="E98" s="15" t="s">
        <v>2404</v>
      </c>
      <c r="F98" s="27" t="s">
        <v>684</v>
      </c>
      <c r="G98" s="27" t="s">
        <v>173</v>
      </c>
      <c r="H98" s="28" t="s">
        <v>608</v>
      </c>
      <c r="I98" s="15" t="s">
        <v>613</v>
      </c>
      <c r="J98" s="27" t="str">
        <f>IF( F98 = "Sovereign", "x", "" )</f>
        <v/>
      </c>
      <c r="K98" s="15">
        <f>( $C98&lt;=$Q$1 )*( $D98 &gt; $Q$1 ) * 1</f>
        <v>0</v>
      </c>
      <c r="L98" s="19"/>
      <c r="M98" s="19"/>
      <c r="O98" s="19">
        <v>97</v>
      </c>
    </row>
    <row r="99" spans="1:15" x14ac:dyDescent="0.2">
      <c r="A99" s="29" t="s">
        <v>1392</v>
      </c>
      <c r="B99" s="15" t="s">
        <v>1391</v>
      </c>
      <c r="C99" s="15">
        <v>19020531</v>
      </c>
      <c r="D99" s="15">
        <v>19100531</v>
      </c>
      <c r="E99" s="15" t="s">
        <v>2404</v>
      </c>
      <c r="F99" s="27" t="s">
        <v>684</v>
      </c>
      <c r="G99" s="27" t="s">
        <v>173</v>
      </c>
      <c r="H99" s="28" t="s">
        <v>608</v>
      </c>
      <c r="I99" s="15" t="s">
        <v>613</v>
      </c>
      <c r="J99" s="27" t="str">
        <f>IF( F99 = "Sovereign", "x", "" )</f>
        <v/>
      </c>
      <c r="K99" s="15">
        <f>( $C99&lt;=$Q$1 )*( $D99 &gt; $Q$1 ) * 1</f>
        <v>0</v>
      </c>
      <c r="L99" s="19"/>
      <c r="M99" s="19"/>
      <c r="O99" s="19">
        <v>98</v>
      </c>
    </row>
    <row r="100" spans="1:15" x14ac:dyDescent="0.2">
      <c r="A100" s="29" t="s">
        <v>917</v>
      </c>
      <c r="B100" s="15" t="s">
        <v>181</v>
      </c>
      <c r="C100" s="15">
        <v>19641024</v>
      </c>
      <c r="D100" s="15">
        <v>20261231</v>
      </c>
      <c r="E100" t="s">
        <v>2536</v>
      </c>
      <c r="F100" s="27" t="s">
        <v>683</v>
      </c>
      <c r="H100" s="28" t="s">
        <v>608</v>
      </c>
      <c r="I100" s="15" t="s">
        <v>1407</v>
      </c>
      <c r="J100" s="27" t="str">
        <f>IF( F100 = "Sovereign", "x", "" )</f>
        <v>x</v>
      </c>
      <c r="K100" s="15">
        <f>( $C100&lt;=$Q$1 )*( $D100 &gt; $Q$1 ) * 1</f>
        <v>1</v>
      </c>
      <c r="L100" s="19"/>
      <c r="M100" s="15" t="s">
        <v>1179</v>
      </c>
      <c r="N100" s="15" t="s">
        <v>397</v>
      </c>
      <c r="O100" s="19">
        <v>99</v>
      </c>
    </row>
    <row r="101" spans="1:15" x14ac:dyDescent="0.2">
      <c r="A101" s="29" t="s">
        <v>1407</v>
      </c>
      <c r="B101" s="15" t="s">
        <v>1177</v>
      </c>
      <c r="C101" s="15">
        <v>19631231</v>
      </c>
      <c r="D101" s="15">
        <v>19641024</v>
      </c>
      <c r="E101" s="15" t="s">
        <v>2404</v>
      </c>
      <c r="F101" s="27" t="s">
        <v>684</v>
      </c>
      <c r="G101" s="27" t="s">
        <v>173</v>
      </c>
      <c r="H101" s="28" t="s">
        <v>608</v>
      </c>
      <c r="I101" s="15" t="s">
        <v>1183</v>
      </c>
      <c r="J101" s="27" t="str">
        <f>IF( F101 = "Sovereign", "x", "" )</f>
        <v/>
      </c>
      <c r="K101" s="15">
        <f>( $C101&lt;=$Q$1 )*( $D101 &gt; $Q$1 ) * 1</f>
        <v>0</v>
      </c>
      <c r="L101" s="19"/>
      <c r="M101" s="15" t="s">
        <v>1177</v>
      </c>
      <c r="N101" s="15" t="s">
        <v>397</v>
      </c>
      <c r="O101" s="19">
        <v>100</v>
      </c>
    </row>
    <row r="102" spans="1:15" x14ac:dyDescent="0.2">
      <c r="A102" s="29" t="s">
        <v>1183</v>
      </c>
      <c r="B102" s="15" t="s">
        <v>1182</v>
      </c>
      <c r="C102" s="15">
        <v>19530801</v>
      </c>
      <c r="D102" s="15">
        <v>19631231</v>
      </c>
      <c r="E102" s="15" t="s">
        <v>2404</v>
      </c>
      <c r="F102" s="27" t="s">
        <v>684</v>
      </c>
      <c r="G102" s="27" t="s">
        <v>173</v>
      </c>
      <c r="H102" s="28" t="s">
        <v>608</v>
      </c>
      <c r="I102" s="15" t="s">
        <v>2474</v>
      </c>
      <c r="J102" s="27" t="str">
        <f>IF( F102 = "Sovereign", "x", "" )</f>
        <v/>
      </c>
      <c r="K102" s="15">
        <f>( $C102&lt;=$Q$1 )*( $D102 &gt; $Q$1 ) * 1</f>
        <v>0</v>
      </c>
      <c r="L102" s="19"/>
      <c r="M102" s="15" t="s">
        <v>1180</v>
      </c>
      <c r="N102" s="15" t="s">
        <v>1181</v>
      </c>
      <c r="O102" s="19">
        <v>101</v>
      </c>
    </row>
    <row r="103" spans="1:15" x14ac:dyDescent="0.2">
      <c r="A103" s="29" t="s">
        <v>1402</v>
      </c>
      <c r="B103" s="15" t="s">
        <v>1177</v>
      </c>
      <c r="C103" s="15">
        <v>19240401</v>
      </c>
      <c r="D103" s="15">
        <v>19530801</v>
      </c>
      <c r="E103" s="15" t="s">
        <v>2404</v>
      </c>
      <c r="F103" s="27" t="s">
        <v>684</v>
      </c>
      <c r="G103" s="27" t="s">
        <v>173</v>
      </c>
      <c r="H103" s="28" t="s">
        <v>608</v>
      </c>
      <c r="I103" s="15" t="s">
        <v>613</v>
      </c>
      <c r="J103" s="27" t="str">
        <f>IF( F103 = "Sovereign", "x", "" )</f>
        <v/>
      </c>
      <c r="K103" s="15">
        <f>( $C103&lt;=$Q$1 )*( $D103 &gt; $Q$1 ) * 1</f>
        <v>0</v>
      </c>
      <c r="L103" s="19"/>
      <c r="M103" s="15" t="s">
        <v>1177</v>
      </c>
      <c r="N103" s="15" t="s">
        <v>1178</v>
      </c>
      <c r="O103" s="19">
        <v>102</v>
      </c>
    </row>
    <row r="104" spans="1:15" x14ac:dyDescent="0.2">
      <c r="A104" s="29" t="s">
        <v>1411</v>
      </c>
      <c r="B104" s="15" t="s">
        <v>182</v>
      </c>
      <c r="C104" s="15">
        <v>19800418</v>
      </c>
      <c r="D104" s="15">
        <v>20261231</v>
      </c>
      <c r="E104" t="s">
        <v>2537</v>
      </c>
      <c r="F104" s="27" t="s">
        <v>683</v>
      </c>
      <c r="H104" s="28" t="s">
        <v>608</v>
      </c>
      <c r="I104" s="15" t="s">
        <v>1404</v>
      </c>
      <c r="J104" s="27" t="str">
        <f>IF( F104 = "Sovereign", "x", "" )</f>
        <v>x</v>
      </c>
      <c r="K104" s="15">
        <f>( $C104&lt;=$Q$1 )*( $D104 &gt; $Q$1 ) * 1</f>
        <v>1</v>
      </c>
      <c r="L104" s="19"/>
      <c r="N104" s="15" t="s">
        <v>398</v>
      </c>
      <c r="O104" s="19">
        <v>103</v>
      </c>
    </row>
    <row r="105" spans="1:15" x14ac:dyDescent="0.2">
      <c r="A105" s="29" t="s">
        <v>1404</v>
      </c>
      <c r="B105" s="15" t="s">
        <v>1403</v>
      </c>
      <c r="C105" s="15">
        <v>19631231</v>
      </c>
      <c r="D105" s="15">
        <v>19800418</v>
      </c>
      <c r="E105" s="15" t="s">
        <v>2404</v>
      </c>
      <c r="F105" s="27" t="s">
        <v>684</v>
      </c>
      <c r="G105" s="27" t="s">
        <v>173</v>
      </c>
      <c r="H105" s="28" t="s">
        <v>608</v>
      </c>
      <c r="I105" s="15" t="s">
        <v>1183</v>
      </c>
      <c r="J105" s="27" t="str">
        <f>IF( F105 = "Sovereign", "x", "" )</f>
        <v/>
      </c>
      <c r="K105" s="15">
        <f>( $C105&lt;=$Q$1 )*( $D105 &gt; $Q$1 ) * 1</f>
        <v>0</v>
      </c>
      <c r="L105" s="19"/>
      <c r="M105" s="19"/>
      <c r="O105" s="19">
        <v>104</v>
      </c>
    </row>
    <row r="106" spans="1:15" x14ac:dyDescent="0.2">
      <c r="A106" s="29" t="s">
        <v>1405</v>
      </c>
      <c r="B106" s="15" t="s">
        <v>1403</v>
      </c>
      <c r="C106" s="15">
        <v>19230912</v>
      </c>
      <c r="D106" s="15">
        <v>19530801</v>
      </c>
      <c r="E106" s="15" t="s">
        <v>2404</v>
      </c>
      <c r="F106" s="27" t="s">
        <v>684</v>
      </c>
      <c r="G106" s="27" t="s">
        <v>173</v>
      </c>
      <c r="H106" s="28" t="s">
        <v>608</v>
      </c>
      <c r="I106" s="15" t="s">
        <v>613</v>
      </c>
      <c r="J106" s="27" t="str">
        <f>IF( F106 = "Sovereign", "x", "" )</f>
        <v/>
      </c>
      <c r="K106" s="15">
        <f>( $C106&lt;=$Q$1 )*( $D106 &gt; $Q$1 ) * 1</f>
        <v>0</v>
      </c>
      <c r="L106" s="19"/>
      <c r="M106" s="19"/>
      <c r="O106" s="19">
        <v>105</v>
      </c>
    </row>
    <row r="107" spans="1:15" x14ac:dyDescent="0.2">
      <c r="A107" s="29" t="s">
        <v>930</v>
      </c>
      <c r="B107" s="15" t="s">
        <v>107</v>
      </c>
      <c r="C107" s="15">
        <v>19750625</v>
      </c>
      <c r="D107" s="15">
        <v>20261231</v>
      </c>
      <c r="E107" t="s">
        <v>2538</v>
      </c>
      <c r="F107" s="27" t="s">
        <v>683</v>
      </c>
      <c r="H107" s="28" t="s">
        <v>608</v>
      </c>
      <c r="I107" s="15" t="s">
        <v>1414</v>
      </c>
      <c r="J107" s="27" t="str">
        <f>IF( F107 = "Sovereign", "x", "" )</f>
        <v>x</v>
      </c>
      <c r="K107" s="15">
        <f>( $C107&lt;=$Q$1 )*( $D107 &gt; $Q$1 ) * 1</f>
        <v>1</v>
      </c>
      <c r="L107" s="19"/>
      <c r="N107" s="15" t="s">
        <v>321</v>
      </c>
      <c r="O107" s="19">
        <v>106</v>
      </c>
    </row>
    <row r="108" spans="1:15" x14ac:dyDescent="0.2">
      <c r="A108" s="29" t="s">
        <v>1414</v>
      </c>
      <c r="B108" s="15" t="s">
        <v>1413</v>
      </c>
      <c r="C108" s="15">
        <v>18910611</v>
      </c>
      <c r="D108" s="15">
        <v>19750625</v>
      </c>
      <c r="E108" s="15" t="s">
        <v>2410</v>
      </c>
      <c r="F108" s="27" t="s">
        <v>684</v>
      </c>
      <c r="G108" s="27" t="s">
        <v>128</v>
      </c>
      <c r="H108" s="28" t="s">
        <v>608</v>
      </c>
      <c r="I108" s="15" t="s">
        <v>613</v>
      </c>
      <c r="J108" s="27" t="str">
        <f>IF( F108 = "Sovereign", "x", "" )</f>
        <v/>
      </c>
      <c r="K108" s="15">
        <f>( $C108&lt;=$Q$1 )*( $D108 &gt; $Q$1 ) * 1</f>
        <v>0</v>
      </c>
      <c r="L108" s="19"/>
      <c r="M108" s="19"/>
      <c r="O108" s="19">
        <v>107</v>
      </c>
    </row>
    <row r="109" spans="1:15" x14ac:dyDescent="0.2">
      <c r="A109" s="29" t="s">
        <v>935</v>
      </c>
      <c r="B109" s="15" t="s">
        <v>161</v>
      </c>
      <c r="C109" s="15">
        <v>19640426</v>
      </c>
      <c r="D109" s="15">
        <v>20261231</v>
      </c>
      <c r="E109" t="s">
        <v>2539</v>
      </c>
      <c r="F109" s="27" t="s">
        <v>683</v>
      </c>
      <c r="H109" s="28" t="s">
        <v>608</v>
      </c>
      <c r="I109" s="26" t="s">
        <v>1426</v>
      </c>
      <c r="J109" s="27" t="str">
        <f>IF( F109 = "Sovereign", "x", "" )</f>
        <v>x</v>
      </c>
      <c r="K109" s="15">
        <f>( $C109&lt;=$Q$1 )*( $D109 &gt; $Q$1 ) * 1</f>
        <v>1</v>
      </c>
      <c r="L109" s="19"/>
      <c r="N109" s="15" t="s">
        <v>375</v>
      </c>
      <c r="O109" s="19">
        <v>108</v>
      </c>
    </row>
    <row r="110" spans="1:15" x14ac:dyDescent="0.2">
      <c r="A110" s="29" t="s">
        <v>1419</v>
      </c>
      <c r="B110" s="15" t="s">
        <v>1422</v>
      </c>
      <c r="C110" s="15">
        <v>19611209</v>
      </c>
      <c r="D110" s="15">
        <v>19640426</v>
      </c>
      <c r="E110" t="s">
        <v>2540</v>
      </c>
      <c r="F110" s="27" t="s">
        <v>683</v>
      </c>
      <c r="H110" s="28" t="s">
        <v>608</v>
      </c>
      <c r="I110" s="26" t="s">
        <v>1425</v>
      </c>
      <c r="J110" s="27" t="str">
        <f>IF( F110 = "Sovereign", "x", "" )</f>
        <v>x</v>
      </c>
      <c r="K110" s="15">
        <f>( $C110&lt;=$Q$1 )*( $D110 &gt; $Q$1 ) * 1</f>
        <v>0</v>
      </c>
      <c r="L110" s="19"/>
      <c r="M110" s="19"/>
      <c r="O110" s="19">
        <v>109</v>
      </c>
    </row>
    <row r="111" spans="1:15" x14ac:dyDescent="0.2">
      <c r="A111" s="29" t="s">
        <v>1421</v>
      </c>
      <c r="B111" s="15" t="s">
        <v>1423</v>
      </c>
      <c r="C111" s="15">
        <v>18901201</v>
      </c>
      <c r="D111" s="15">
        <v>19631210</v>
      </c>
      <c r="E111" s="15" t="s">
        <v>2404</v>
      </c>
      <c r="F111" s="27" t="s">
        <v>684</v>
      </c>
      <c r="G111" s="27" t="s">
        <v>173</v>
      </c>
      <c r="H111" s="28" t="s">
        <v>608</v>
      </c>
      <c r="I111" s="26" t="s">
        <v>1427</v>
      </c>
      <c r="J111" s="27" t="str">
        <f>IF( F111 = "Sovereign", "x", "" )</f>
        <v/>
      </c>
      <c r="K111" s="15">
        <f>( $C111&lt;=$Q$1 )*( $D111 &gt; $Q$1 ) * 1</f>
        <v>0</v>
      </c>
      <c r="L111" s="19"/>
      <c r="M111" s="19"/>
      <c r="O111" s="19">
        <v>110</v>
      </c>
    </row>
    <row r="112" spans="1:15" x14ac:dyDescent="0.2">
      <c r="A112" s="29" t="s">
        <v>1420</v>
      </c>
      <c r="B112" s="15" t="s">
        <v>1423</v>
      </c>
      <c r="C112" s="15">
        <v>19631210</v>
      </c>
      <c r="D112" s="15">
        <v>19640426</v>
      </c>
      <c r="E112" t="s">
        <v>2541</v>
      </c>
      <c r="F112" s="27" t="s">
        <v>683</v>
      </c>
      <c r="H112" s="28" t="s">
        <v>608</v>
      </c>
      <c r="I112" s="26" t="s">
        <v>1421</v>
      </c>
      <c r="J112" s="27" t="str">
        <f>IF( F112 = "Sovereign", "x", "" )</f>
        <v>x</v>
      </c>
      <c r="K112" s="15">
        <f>( $C112&lt;=$Q$1 )*( $D112 &gt; $Q$1 ) * 1</f>
        <v>0</v>
      </c>
      <c r="L112" s="19"/>
      <c r="M112" s="19"/>
      <c r="O112" s="19">
        <v>111</v>
      </c>
    </row>
    <row r="113" spans="1:15" x14ac:dyDescent="0.2">
      <c r="A113" s="29" t="s">
        <v>1427</v>
      </c>
      <c r="B113" s="15" t="s">
        <v>1423</v>
      </c>
      <c r="C113" s="15">
        <v>18560406</v>
      </c>
      <c r="D113" s="15">
        <v>18901201</v>
      </c>
      <c r="E113" t="s">
        <v>2532</v>
      </c>
      <c r="F113" s="27" t="s">
        <v>683</v>
      </c>
      <c r="H113" s="28" t="s">
        <v>608</v>
      </c>
      <c r="I113" s="15" t="s">
        <v>613</v>
      </c>
      <c r="J113" s="27" t="str">
        <f>IF( F113 = "Sovereign", "x", "" )</f>
        <v>x</v>
      </c>
      <c r="K113" s="15">
        <f>( $C113&lt;=$Q$1 )*( $D113 &gt; $Q$1 ) * 1</f>
        <v>0</v>
      </c>
      <c r="L113" s="19"/>
      <c r="M113" s="19"/>
      <c r="O113" s="19">
        <v>112</v>
      </c>
    </row>
    <row r="114" spans="1:15" x14ac:dyDescent="0.2">
      <c r="A114" s="29" t="s">
        <v>1425</v>
      </c>
      <c r="B114" s="15" t="s">
        <v>1422</v>
      </c>
      <c r="C114" s="15">
        <v>19160904</v>
      </c>
      <c r="D114" s="15">
        <v>19611209</v>
      </c>
      <c r="E114" s="15" t="s">
        <v>2404</v>
      </c>
      <c r="F114" s="27" t="s">
        <v>684</v>
      </c>
      <c r="G114" s="27" t="s">
        <v>173</v>
      </c>
      <c r="H114" s="28" t="s">
        <v>608</v>
      </c>
      <c r="I114" s="15" t="s">
        <v>1158</v>
      </c>
      <c r="J114" s="27" t="str">
        <f>IF( F114 = "Sovereign", "x", "" )</f>
        <v/>
      </c>
      <c r="K114" s="15">
        <f>( $C114&lt;=$Q$1 )*( $D114 &gt; $Q$1 ) * 1</f>
        <v>0</v>
      </c>
      <c r="L114" s="19"/>
      <c r="M114" s="19"/>
      <c r="O114" s="19">
        <v>113</v>
      </c>
    </row>
    <row r="115" spans="1:15" x14ac:dyDescent="0.2">
      <c r="A115" s="29" t="s">
        <v>927</v>
      </c>
      <c r="B115" s="15" t="s">
        <v>93</v>
      </c>
      <c r="C115" s="15">
        <v>19600626</v>
      </c>
      <c r="D115" s="15">
        <v>20261231</v>
      </c>
      <c r="E115" t="s">
        <v>2526</v>
      </c>
      <c r="F115" s="27" t="s">
        <v>683</v>
      </c>
      <c r="H115" s="28" t="s">
        <v>608</v>
      </c>
      <c r="I115" s="15" t="s">
        <v>1146</v>
      </c>
      <c r="J115" s="27" t="str">
        <f>IF( F115 = "Sovereign", "x", "" )</f>
        <v>x</v>
      </c>
      <c r="K115" s="15">
        <f>( $C115&lt;=$Q$1 )*( $D115 &gt; $Q$1 ) * 1</f>
        <v>1</v>
      </c>
      <c r="L115" s="19"/>
      <c r="M115" s="15" t="s">
        <v>1148</v>
      </c>
      <c r="N115" s="15" t="s">
        <v>307</v>
      </c>
      <c r="O115" s="19">
        <v>114</v>
      </c>
    </row>
    <row r="116" spans="1:15" x14ac:dyDescent="0.2">
      <c r="A116" s="29" t="s">
        <v>1146</v>
      </c>
      <c r="B116" s="15" t="s">
        <v>93</v>
      </c>
      <c r="C116" s="15">
        <v>18820101</v>
      </c>
      <c r="D116" s="15">
        <v>19600626</v>
      </c>
      <c r="E116" s="15" t="s">
        <v>2408</v>
      </c>
      <c r="F116" s="27" t="s">
        <v>684</v>
      </c>
      <c r="G116" s="27" t="s">
        <v>184</v>
      </c>
      <c r="H116" s="28" t="s">
        <v>608</v>
      </c>
      <c r="I116" s="15" t="s">
        <v>1143</v>
      </c>
      <c r="J116" s="27" t="str">
        <f>IF( F116 = "Sovereign", "x", "" )</f>
        <v/>
      </c>
      <c r="K116" s="15">
        <f>( $C116&lt;=$Q$1 )*( $D116 &gt; $Q$1 ) * 1</f>
        <v>0</v>
      </c>
      <c r="L116" s="19"/>
      <c r="M116" s="15" t="s">
        <v>1145</v>
      </c>
      <c r="N116" s="15" t="s">
        <v>307</v>
      </c>
      <c r="O116" s="19">
        <v>115</v>
      </c>
    </row>
    <row r="117" spans="1:15" x14ac:dyDescent="0.2">
      <c r="A117" s="29" t="s">
        <v>1143</v>
      </c>
      <c r="B117" s="15" t="s">
        <v>1438</v>
      </c>
      <c r="C117" s="15">
        <v>18170101</v>
      </c>
      <c r="D117" s="15">
        <v>18820101</v>
      </c>
      <c r="E117" t="s">
        <v>2527</v>
      </c>
      <c r="F117" s="27" t="s">
        <v>683</v>
      </c>
      <c r="H117" s="28" t="s">
        <v>608</v>
      </c>
      <c r="I117" s="15" t="s">
        <v>613</v>
      </c>
      <c r="J117" s="27" t="str">
        <f>IF( F117 = "Sovereign", "x", "" )</f>
        <v>x</v>
      </c>
      <c r="K117" s="15">
        <f>( $C117&lt;=$Q$1 )*( $D117 &gt; $Q$1 ) * 1</f>
        <v>0</v>
      </c>
      <c r="L117" s="19"/>
      <c r="M117" s="15" t="s">
        <v>1144</v>
      </c>
      <c r="N117" s="15" t="s">
        <v>307</v>
      </c>
      <c r="O117" s="19">
        <v>116</v>
      </c>
    </row>
    <row r="118" spans="1:15" x14ac:dyDescent="0.2">
      <c r="A118" s="29" t="s">
        <v>913</v>
      </c>
      <c r="B118" s="15" t="s">
        <v>35</v>
      </c>
      <c r="C118" s="15">
        <v>19750706</v>
      </c>
      <c r="D118" s="15">
        <v>20261231</v>
      </c>
      <c r="E118" t="s">
        <v>2528</v>
      </c>
      <c r="F118" s="27" t="s">
        <v>683</v>
      </c>
      <c r="H118" s="28" t="s">
        <v>608</v>
      </c>
      <c r="I118" s="15" t="s">
        <v>1141</v>
      </c>
      <c r="J118" s="27" t="str">
        <f>IF( F118 = "Sovereign", "x", "" )</f>
        <v>x</v>
      </c>
      <c r="K118" s="15">
        <f>( $C118&lt;=$Q$1 )*( $D118 &gt; $Q$1 ) * 1</f>
        <v>1</v>
      </c>
      <c r="L118" s="19"/>
      <c r="M118" s="15" t="s">
        <v>1149</v>
      </c>
      <c r="N118" s="15" t="s">
        <v>232</v>
      </c>
      <c r="O118" s="19">
        <v>117</v>
      </c>
    </row>
    <row r="119" spans="1:15" x14ac:dyDescent="0.2">
      <c r="A119" s="29" t="s">
        <v>1141</v>
      </c>
      <c r="B119" s="15" t="s">
        <v>35</v>
      </c>
      <c r="C119" s="15">
        <v>19120101</v>
      </c>
      <c r="D119" s="15">
        <v>19750706</v>
      </c>
      <c r="E119" s="15" t="s">
        <v>2408</v>
      </c>
      <c r="F119" s="27" t="s">
        <v>684</v>
      </c>
      <c r="G119" s="27" t="s">
        <v>184</v>
      </c>
      <c r="H119" s="28" t="s">
        <v>608</v>
      </c>
      <c r="I119" s="15" t="s">
        <v>613</v>
      </c>
      <c r="J119" s="27" t="str">
        <f>IF( F119 = "Sovereign", "x", "" )</f>
        <v/>
      </c>
      <c r="K119" s="15">
        <f>( $C119&lt;=$Q$1 )*( $D119 &gt; $Q$1 ) * 1</f>
        <v>0</v>
      </c>
      <c r="L119" s="19"/>
      <c r="M119" s="15" t="s">
        <v>1142</v>
      </c>
      <c r="N119" s="15" t="s">
        <v>232</v>
      </c>
      <c r="O119" s="19">
        <v>118</v>
      </c>
    </row>
    <row r="120" spans="1:15" x14ac:dyDescent="0.2">
      <c r="A120" s="29" t="s">
        <v>916</v>
      </c>
      <c r="B120" s="15" t="s">
        <v>101</v>
      </c>
      <c r="C120" s="15">
        <v>19680312</v>
      </c>
      <c r="D120" s="15">
        <v>20261231</v>
      </c>
      <c r="E120" t="s">
        <v>2529</v>
      </c>
      <c r="F120" s="27" t="s">
        <v>683</v>
      </c>
      <c r="H120" s="28" t="s">
        <v>608</v>
      </c>
      <c r="I120" s="15" t="s">
        <v>1173</v>
      </c>
      <c r="J120" s="27" t="str">
        <f>IF( F120 = "Sovereign", "x", "" )</f>
        <v>x</v>
      </c>
      <c r="K120" s="15">
        <f>( $C120&lt;=$Q$1 )*( $D120 &gt; $Q$1 ) * 1</f>
        <v>1</v>
      </c>
      <c r="L120" s="19"/>
      <c r="M120" s="15" t="s">
        <v>1222</v>
      </c>
      <c r="N120" s="15" t="s">
        <v>315</v>
      </c>
      <c r="O120" s="19">
        <v>119</v>
      </c>
    </row>
    <row r="121" spans="1:15" x14ac:dyDescent="0.2">
      <c r="A121" s="29" t="s">
        <v>1173</v>
      </c>
      <c r="B121" s="15" t="s">
        <v>1174</v>
      </c>
      <c r="C121" s="15">
        <v>18101203</v>
      </c>
      <c r="D121" s="15">
        <v>19680312</v>
      </c>
      <c r="E121" s="15" t="s">
        <v>2404</v>
      </c>
      <c r="F121" s="27" t="s">
        <v>684</v>
      </c>
      <c r="G121" s="27" t="s">
        <v>173</v>
      </c>
      <c r="H121" s="28" t="s">
        <v>608</v>
      </c>
      <c r="I121" s="15" t="s">
        <v>1176</v>
      </c>
      <c r="J121" s="27" t="str">
        <f>IF( F121 = "Sovereign", "x", "" )</f>
        <v/>
      </c>
      <c r="K121" s="15">
        <f>( $C121&lt;=$Q$1 )*( $D121 &gt; $Q$1 ) * 1</f>
        <v>0</v>
      </c>
      <c r="L121" s="19"/>
      <c r="M121" s="15" t="s">
        <v>1172</v>
      </c>
      <c r="N121" s="15" t="s">
        <v>315</v>
      </c>
      <c r="O121" s="19">
        <v>120</v>
      </c>
    </row>
    <row r="122" spans="1:15" x14ac:dyDescent="0.2">
      <c r="A122" s="29" t="s">
        <v>1176</v>
      </c>
      <c r="B122" s="15" t="s">
        <v>1175</v>
      </c>
      <c r="C122" s="15">
        <v>17150920</v>
      </c>
      <c r="D122" s="15">
        <v>18101203</v>
      </c>
      <c r="E122" s="15" t="s">
        <v>2408</v>
      </c>
      <c r="F122" s="27" t="s">
        <v>684</v>
      </c>
      <c r="G122" s="27" t="s">
        <v>184</v>
      </c>
      <c r="H122" s="28" t="s">
        <v>608</v>
      </c>
      <c r="I122" s="15" t="s">
        <v>613</v>
      </c>
      <c r="J122" s="27" t="str">
        <f>IF( F122 = "Sovereign", "x", "" )</f>
        <v/>
      </c>
      <c r="K122" s="15">
        <f>( $C122&lt;=$Q$1 )*( $D122 &gt; $Q$1 ) * 1</f>
        <v>0</v>
      </c>
      <c r="L122" s="19"/>
      <c r="M122" s="15" t="s">
        <v>1175</v>
      </c>
      <c r="N122" s="15" t="s">
        <v>315</v>
      </c>
      <c r="O122" s="19">
        <v>121</v>
      </c>
    </row>
    <row r="123" spans="1:15" x14ac:dyDescent="0.2">
      <c r="A123" s="29" t="s">
        <v>2363</v>
      </c>
      <c r="B123" s="15" t="s">
        <v>773</v>
      </c>
      <c r="C123" s="15">
        <v>19460319</v>
      </c>
      <c r="D123" s="15">
        <v>20261231</v>
      </c>
      <c r="E123" s="15" t="s">
        <v>2408</v>
      </c>
      <c r="F123" s="27" t="s">
        <v>684</v>
      </c>
      <c r="G123" s="27" t="s">
        <v>184</v>
      </c>
      <c r="H123" s="15" t="s">
        <v>608</v>
      </c>
      <c r="I123" s="15" t="s">
        <v>613</v>
      </c>
      <c r="J123" s="27" t="str">
        <f>IF( F123 = "Sovereign", "x", "" )</f>
        <v/>
      </c>
      <c r="K123" s="15">
        <f>( $C123&lt;=$Q$1 )*( $D123 &gt; $Q$1 ) * 1</f>
        <v>1</v>
      </c>
      <c r="L123" s="19"/>
      <c r="M123" s="15" t="s">
        <v>773</v>
      </c>
      <c r="N123" s="15" t="s">
        <v>887</v>
      </c>
      <c r="O123" s="19">
        <v>122</v>
      </c>
    </row>
    <row r="124" spans="1:15" x14ac:dyDescent="0.2">
      <c r="A124" s="29" t="s">
        <v>884</v>
      </c>
      <c r="B124" s="15" t="s">
        <v>774</v>
      </c>
      <c r="C124" s="15">
        <v>18410101</v>
      </c>
      <c r="D124" s="15">
        <v>20261231</v>
      </c>
      <c r="E124" s="15" t="s">
        <v>2408</v>
      </c>
      <c r="F124" s="27" t="s">
        <v>684</v>
      </c>
      <c r="G124" s="27" t="s">
        <v>184</v>
      </c>
      <c r="H124" s="15" t="s">
        <v>608</v>
      </c>
      <c r="I124" s="15" t="s">
        <v>613</v>
      </c>
      <c r="J124" s="27" t="str">
        <f>IF( F124 = "Sovereign", "x", "" )</f>
        <v/>
      </c>
      <c r="K124" s="15">
        <f>( $C124&lt;=$Q$1 )*( $D124 &gt; $Q$1 ) * 1</f>
        <v>1</v>
      </c>
      <c r="L124" s="19"/>
      <c r="M124" s="15" t="s">
        <v>774</v>
      </c>
      <c r="N124" s="15" t="s">
        <v>885</v>
      </c>
      <c r="O124" s="19">
        <v>123</v>
      </c>
    </row>
    <row r="125" spans="1:15" x14ac:dyDescent="0.2">
      <c r="A125" s="29" t="s">
        <v>2248</v>
      </c>
      <c r="B125" s="15" t="s">
        <v>94</v>
      </c>
      <c r="C125" s="15">
        <v>19640706</v>
      </c>
      <c r="D125" s="15">
        <v>20261231</v>
      </c>
      <c r="E125" t="s">
        <v>2530</v>
      </c>
      <c r="F125" s="27" t="s">
        <v>683</v>
      </c>
      <c r="H125" s="28" t="s">
        <v>608</v>
      </c>
      <c r="I125" s="15" t="s">
        <v>1406</v>
      </c>
      <c r="J125" s="27" t="str">
        <f>IF( F125 = "Sovereign", "x", "" )</f>
        <v>x</v>
      </c>
      <c r="K125" s="15">
        <f>( $C125&lt;=$Q$1 )*( $D125 &gt; $Q$1 ) * 1</f>
        <v>1</v>
      </c>
      <c r="L125" s="19"/>
      <c r="N125" s="15" t="s">
        <v>308</v>
      </c>
      <c r="O125" s="19">
        <v>124</v>
      </c>
    </row>
    <row r="126" spans="1:15" x14ac:dyDescent="0.2">
      <c r="A126" s="29" t="s">
        <v>1406</v>
      </c>
      <c r="B126" s="15" t="s">
        <v>1492</v>
      </c>
      <c r="C126" s="15">
        <v>19631231</v>
      </c>
      <c r="D126" s="15">
        <v>19640706</v>
      </c>
      <c r="E126" s="15" t="s">
        <v>2404</v>
      </c>
      <c r="F126" s="27" t="s">
        <v>684</v>
      </c>
      <c r="G126" s="27" t="s">
        <v>173</v>
      </c>
      <c r="H126" s="28" t="s">
        <v>608</v>
      </c>
      <c r="I126" s="15" t="s">
        <v>1183</v>
      </c>
      <c r="J126" s="27" t="str">
        <f>IF( F126 = "Sovereign", "x", "" )</f>
        <v/>
      </c>
      <c r="K126" s="15">
        <f>( $C126&lt;=$Q$1 )*( $D126 &gt; $Q$1 ) * 1</f>
        <v>0</v>
      </c>
      <c r="L126" s="19"/>
      <c r="M126" s="19"/>
      <c r="O126" s="19">
        <v>125</v>
      </c>
    </row>
    <row r="127" spans="1:15" x14ac:dyDescent="0.2">
      <c r="A127" s="29" t="s">
        <v>2473</v>
      </c>
      <c r="B127" s="15" t="s">
        <v>2472</v>
      </c>
      <c r="C127" s="15">
        <v>18930101</v>
      </c>
      <c r="D127" s="15">
        <v>19530801</v>
      </c>
      <c r="E127" s="15" t="s">
        <v>2404</v>
      </c>
      <c r="F127" s="27" t="s">
        <v>684</v>
      </c>
      <c r="G127" s="27" t="s">
        <v>173</v>
      </c>
      <c r="H127" s="28" t="s">
        <v>608</v>
      </c>
      <c r="I127" s="15" t="s">
        <v>613</v>
      </c>
      <c r="J127" s="27" t="str">
        <f>IF( F127 = "Sovereign", "x", "" )</f>
        <v/>
      </c>
      <c r="K127" s="15">
        <f>( $C127&lt;=$Q$1 )*( $D127 &gt; $Q$1 ) * 1</f>
        <v>0</v>
      </c>
      <c r="L127" s="19"/>
      <c r="M127" s="19"/>
      <c r="O127" s="19">
        <v>126</v>
      </c>
    </row>
    <row r="128" spans="1:15" x14ac:dyDescent="0.2">
      <c r="A128" s="29" t="s">
        <v>914</v>
      </c>
      <c r="B128" s="15" t="s">
        <v>133</v>
      </c>
      <c r="C128" s="15">
        <v>19620701</v>
      </c>
      <c r="D128" s="15">
        <v>20261231</v>
      </c>
      <c r="E128" t="s">
        <v>2531</v>
      </c>
      <c r="F128" s="27" t="s">
        <v>683</v>
      </c>
      <c r="H128" s="28" t="s">
        <v>608</v>
      </c>
      <c r="I128" s="15" t="s">
        <v>1449</v>
      </c>
      <c r="J128" s="27" t="str">
        <f>IF( F128 = "Sovereign", "x", "" )</f>
        <v>x</v>
      </c>
      <c r="K128" s="15">
        <f>( $C128&lt;=$Q$1 )*( $D128 &gt; $Q$1 ) * 1</f>
        <v>1</v>
      </c>
      <c r="L128" s="19"/>
      <c r="M128" s="15" t="s">
        <v>1150</v>
      </c>
      <c r="N128" s="15" t="s">
        <v>348</v>
      </c>
      <c r="O128" s="19">
        <v>127</v>
      </c>
    </row>
    <row r="129" spans="1:15" x14ac:dyDescent="0.2">
      <c r="A129" s="29" t="s">
        <v>1449</v>
      </c>
      <c r="B129" s="15" t="s">
        <v>1154</v>
      </c>
      <c r="C129" s="15">
        <v>19160506</v>
      </c>
      <c r="D129" s="15">
        <v>19620701</v>
      </c>
      <c r="E129" t="s">
        <v>2532</v>
      </c>
      <c r="F129" s="27" t="s">
        <v>684</v>
      </c>
      <c r="G129" s="27" t="s">
        <v>15</v>
      </c>
      <c r="H129" s="28" t="s">
        <v>608</v>
      </c>
      <c r="I129" s="15" t="s">
        <v>1158</v>
      </c>
      <c r="J129" s="27" t="str">
        <f>IF( F129 = "Sovereign", "x", "" )</f>
        <v/>
      </c>
      <c r="K129" s="15">
        <f>( $C129&lt;=$Q$1 )*( $D129 &gt; $Q$1 ) * 1</f>
        <v>0</v>
      </c>
      <c r="L129" s="19"/>
      <c r="M129" s="15" t="s">
        <v>1155</v>
      </c>
      <c r="N129" s="15" t="s">
        <v>1156</v>
      </c>
      <c r="O129" s="19">
        <v>128</v>
      </c>
    </row>
    <row r="130" spans="1:15" x14ac:dyDescent="0.2">
      <c r="A130" s="29" t="s">
        <v>1158</v>
      </c>
      <c r="B130" s="15" t="s">
        <v>1151</v>
      </c>
      <c r="C130" s="15">
        <v>18850227</v>
      </c>
      <c r="D130" s="15">
        <v>19160904</v>
      </c>
      <c r="E130" s="15" t="s">
        <v>2407</v>
      </c>
      <c r="F130" s="27" t="s">
        <v>684</v>
      </c>
      <c r="G130" s="27" t="s">
        <v>57</v>
      </c>
      <c r="H130" s="28" t="s">
        <v>608</v>
      </c>
      <c r="I130" s="15" t="s">
        <v>613</v>
      </c>
      <c r="J130" s="27" t="str">
        <f>IF( F130 = "Sovereign", "x", "" )</f>
        <v/>
      </c>
      <c r="K130" s="15">
        <f>( $C130&lt;=$Q$1 )*( $D130 &gt; $Q$1 ) * 1</f>
        <v>0</v>
      </c>
      <c r="L130" s="19"/>
      <c r="M130" s="15" t="s">
        <v>1151</v>
      </c>
      <c r="N130" s="15" t="s">
        <v>1152</v>
      </c>
      <c r="O130" s="19">
        <v>129</v>
      </c>
    </row>
    <row r="131" spans="1:15" x14ac:dyDescent="0.2">
      <c r="A131" s="29" t="s">
        <v>936</v>
      </c>
      <c r="B131" s="15" t="s">
        <v>26</v>
      </c>
      <c r="C131" s="15">
        <v>19620701</v>
      </c>
      <c r="D131" s="15">
        <v>20261231</v>
      </c>
      <c r="E131" t="s">
        <v>2533</v>
      </c>
      <c r="F131" s="27" t="s">
        <v>683</v>
      </c>
      <c r="H131" s="28" t="s">
        <v>608</v>
      </c>
      <c r="I131" s="15" t="s">
        <v>1449</v>
      </c>
      <c r="J131" s="27" t="str">
        <f>IF( F131 = "Sovereign", "x", "" )</f>
        <v>x</v>
      </c>
      <c r="K131" s="15">
        <f>( $C131&lt;=$Q$1 )*( $D131 &gt; $Q$1 ) * 1</f>
        <v>1</v>
      </c>
      <c r="L131" s="19"/>
      <c r="M131" s="15" t="s">
        <v>1157</v>
      </c>
      <c r="N131" s="15" t="s">
        <v>221</v>
      </c>
      <c r="O131" s="19">
        <v>130</v>
      </c>
    </row>
    <row r="132" spans="1:15" x14ac:dyDescent="0.2">
      <c r="A132" s="29" t="s">
        <v>1455</v>
      </c>
      <c r="B132" s="15" t="s">
        <v>79</v>
      </c>
      <c r="C132" s="15">
        <v>19631231</v>
      </c>
      <c r="D132" s="15">
        <v>20261231</v>
      </c>
      <c r="E132" t="s">
        <v>2534</v>
      </c>
      <c r="F132" s="27" t="s">
        <v>683</v>
      </c>
      <c r="H132" s="28" t="s">
        <v>608</v>
      </c>
      <c r="I132" s="15" t="s">
        <v>1171</v>
      </c>
      <c r="J132" s="27" t="str">
        <f>IF( F132 = "Sovereign", "x", "" )</f>
        <v>x</v>
      </c>
      <c r="K132" s="15">
        <f>( $C132&lt;=$Q$1 )*( $D132 &gt; $Q$1 ) * 1</f>
        <v>1</v>
      </c>
      <c r="L132" s="19"/>
      <c r="M132" s="15" t="s">
        <v>1170</v>
      </c>
      <c r="N132" s="15" t="s">
        <v>293</v>
      </c>
      <c r="O132" s="19">
        <v>131</v>
      </c>
    </row>
    <row r="133" spans="1:15" x14ac:dyDescent="0.2">
      <c r="A133" s="29" t="s">
        <v>1171</v>
      </c>
      <c r="B133" s="15" t="s">
        <v>79</v>
      </c>
      <c r="C133" s="15">
        <v>19200723</v>
      </c>
      <c r="D133" s="15">
        <v>19631231</v>
      </c>
      <c r="E133" s="15" t="s">
        <v>2404</v>
      </c>
      <c r="F133" s="27" t="s">
        <v>684</v>
      </c>
      <c r="G133" s="27" t="s">
        <v>173</v>
      </c>
      <c r="H133" s="28" t="s">
        <v>608</v>
      </c>
      <c r="I133" s="15" t="s">
        <v>1454</v>
      </c>
      <c r="J133" s="27" t="str">
        <f>IF( F133 = "Sovereign", "x", "" )</f>
        <v/>
      </c>
      <c r="K133" s="15">
        <f>( $C133&lt;=$Q$1 )*( $D133 &gt; $Q$1 ) * 1</f>
        <v>0</v>
      </c>
      <c r="L133" s="19"/>
      <c r="M133" s="15" t="s">
        <v>1169</v>
      </c>
      <c r="N133" s="15" t="s">
        <v>293</v>
      </c>
      <c r="O133" s="19">
        <v>132</v>
      </c>
    </row>
    <row r="134" spans="1:15" x14ac:dyDescent="0.2">
      <c r="A134" s="29" t="s">
        <v>1454</v>
      </c>
      <c r="B134" s="15" t="s">
        <v>1167</v>
      </c>
      <c r="C134" s="15">
        <v>18950701</v>
      </c>
      <c r="D134" s="15">
        <v>19200723</v>
      </c>
      <c r="E134" s="15" t="s">
        <v>2404</v>
      </c>
      <c r="F134" s="27" t="s">
        <v>684</v>
      </c>
      <c r="G134" s="27" t="s">
        <v>173</v>
      </c>
      <c r="H134" s="28" t="s">
        <v>608</v>
      </c>
      <c r="I134" s="15" t="s">
        <v>613</v>
      </c>
      <c r="J134" s="27" t="str">
        <f>IF( F134 = "Sovereign", "x", "" )</f>
        <v/>
      </c>
      <c r="K134" s="15">
        <f>( $C134&lt;=$Q$1 )*( $D134 &gt; $Q$1 ) * 1</f>
        <v>0</v>
      </c>
      <c r="L134" s="19"/>
      <c r="M134" s="15" t="s">
        <v>1167</v>
      </c>
      <c r="N134" s="15" t="s">
        <v>1168</v>
      </c>
      <c r="O134" s="19">
        <v>133</v>
      </c>
    </row>
    <row r="135" spans="1:15" x14ac:dyDescent="0.2">
      <c r="A135" s="29" t="s">
        <v>1457</v>
      </c>
      <c r="B135" s="15" t="s">
        <v>170</v>
      </c>
      <c r="C135" s="15">
        <v>19621009</v>
      </c>
      <c r="D135" s="15">
        <v>20261231</v>
      </c>
      <c r="E135" t="s">
        <v>2535</v>
      </c>
      <c r="F135" s="27" t="s">
        <v>683</v>
      </c>
      <c r="H135" s="28" t="s">
        <v>608</v>
      </c>
      <c r="I135" s="15" t="s">
        <v>1458</v>
      </c>
      <c r="J135" s="27" t="str">
        <f>IF( F135 = "Sovereign", "x", "" )</f>
        <v>x</v>
      </c>
      <c r="K135" s="15">
        <f>( $C135&lt;=$Q$1 )*( $D135 &gt; $Q$1 ) * 1</f>
        <v>1</v>
      </c>
      <c r="L135" s="19"/>
      <c r="N135" s="15" t="s">
        <v>385</v>
      </c>
      <c r="O135" s="19">
        <v>134</v>
      </c>
    </row>
    <row r="136" spans="1:15" x14ac:dyDescent="0.2">
      <c r="A136" s="29" t="s">
        <v>1458</v>
      </c>
      <c r="B136" s="15" t="s">
        <v>170</v>
      </c>
      <c r="C136" s="15">
        <v>18940618</v>
      </c>
      <c r="D136" s="15">
        <v>19621009</v>
      </c>
      <c r="E136" s="15" t="s">
        <v>2404</v>
      </c>
      <c r="F136" s="27" t="s">
        <v>684</v>
      </c>
      <c r="G136" s="27" t="s">
        <v>173</v>
      </c>
      <c r="H136" s="28" t="s">
        <v>608</v>
      </c>
      <c r="I136" s="15" t="s">
        <v>613</v>
      </c>
      <c r="J136" s="27" t="str">
        <f>IF( F136 = "Sovereign", "x", "" )</f>
        <v/>
      </c>
      <c r="K136" s="15">
        <f>( $C136&lt;=$Q$1 )*( $D136 &gt; $Q$1 ) * 1</f>
        <v>0</v>
      </c>
      <c r="L136" s="19"/>
      <c r="M136" s="19"/>
      <c r="O136" s="19">
        <v>135</v>
      </c>
    </row>
    <row r="137" spans="1:15" x14ac:dyDescent="0.2">
      <c r="A137" s="29" t="s">
        <v>926</v>
      </c>
      <c r="B137" s="15" t="s">
        <v>154</v>
      </c>
      <c r="C137" s="15">
        <v>19560101</v>
      </c>
      <c r="D137" s="15">
        <v>20261231</v>
      </c>
      <c r="E137" t="s">
        <v>2536</v>
      </c>
      <c r="F137" s="27" t="s">
        <v>683</v>
      </c>
      <c r="H137" s="28" t="s">
        <v>608</v>
      </c>
      <c r="I137" s="15" t="s">
        <v>1463</v>
      </c>
      <c r="J137" s="27" t="str">
        <f>IF( F137 = "Sovereign", "x", "" )</f>
        <v>x</v>
      </c>
      <c r="K137" s="15">
        <f>( $C137&lt;=$Q$1 )*( $D137 &gt; $Q$1 ) * 1</f>
        <v>1</v>
      </c>
      <c r="L137" s="19"/>
      <c r="N137" s="15" t="s">
        <v>367</v>
      </c>
      <c r="O137" s="19">
        <v>136</v>
      </c>
    </row>
    <row r="138" spans="1:15" x14ac:dyDescent="0.2">
      <c r="A138" s="26" t="s">
        <v>1463</v>
      </c>
      <c r="B138" s="15" t="s">
        <v>1464</v>
      </c>
      <c r="C138" s="15">
        <v>18990619</v>
      </c>
      <c r="D138" s="15">
        <v>19560101</v>
      </c>
      <c r="E138" s="15" t="s">
        <v>2404</v>
      </c>
      <c r="F138" s="27" t="s">
        <v>684</v>
      </c>
      <c r="G138" s="27" t="s">
        <v>173</v>
      </c>
      <c r="H138" s="28" t="s">
        <v>608</v>
      </c>
      <c r="I138" s="15" t="s">
        <v>613</v>
      </c>
      <c r="J138" s="27" t="str">
        <f>IF( F138 = "Sovereign", "x", "" )</f>
        <v/>
      </c>
      <c r="K138" s="15">
        <f>( $C138&lt;=$Q$1 )*( $D138 &gt; $Q$1 ) * 1</f>
        <v>0</v>
      </c>
      <c r="L138" s="19"/>
      <c r="M138" s="19"/>
      <c r="O138" s="19">
        <v>137</v>
      </c>
    </row>
    <row r="139" spans="1:15" x14ac:dyDescent="0.2">
      <c r="A139" s="29" t="s">
        <v>929</v>
      </c>
      <c r="B139" s="15" t="s">
        <v>151</v>
      </c>
      <c r="C139" s="15">
        <v>20110709</v>
      </c>
      <c r="D139" s="15">
        <v>20261231</v>
      </c>
      <c r="E139" t="s">
        <v>2537</v>
      </c>
      <c r="F139" s="27" t="s">
        <v>683</v>
      </c>
      <c r="H139" s="28" t="s">
        <v>608</v>
      </c>
      <c r="I139" s="15" t="s">
        <v>926</v>
      </c>
      <c r="J139" s="27" t="str">
        <f>IF( F139 = "Sovereign", "x", "" )</f>
        <v>x</v>
      </c>
      <c r="K139" s="15">
        <f>( $C139&lt;=$Q$1 )*( $D139 &gt; $Q$1 ) * 1</f>
        <v>1</v>
      </c>
      <c r="L139" s="19"/>
      <c r="N139" s="15" t="s">
        <v>364</v>
      </c>
      <c r="O139" s="19">
        <v>138</v>
      </c>
    </row>
    <row r="140" spans="1:15" x14ac:dyDescent="0.2">
      <c r="A140" s="29" t="s">
        <v>1470</v>
      </c>
      <c r="B140" s="15" t="s">
        <v>47</v>
      </c>
      <c r="C140" s="15">
        <v>19610929</v>
      </c>
      <c r="D140" s="15">
        <v>20261231</v>
      </c>
      <c r="E140" t="s">
        <v>2538</v>
      </c>
      <c r="F140" s="27" t="s">
        <v>683</v>
      </c>
      <c r="H140" s="28" t="s">
        <v>608</v>
      </c>
      <c r="I140" s="15" t="s">
        <v>1245</v>
      </c>
      <c r="J140" s="27" t="str">
        <f>IF( F140 = "Sovereign", "x", "" )</f>
        <v>x</v>
      </c>
      <c r="K140" s="15">
        <f>( $C140&lt;=$Q$1 )*( $D140 &gt; $Q$1 ) * 1</f>
        <v>1</v>
      </c>
      <c r="L140" s="19"/>
      <c r="M140" s="15" t="s">
        <v>1244</v>
      </c>
      <c r="N140" s="15" t="s">
        <v>248</v>
      </c>
      <c r="O140" s="19">
        <v>139</v>
      </c>
    </row>
    <row r="141" spans="1:15" x14ac:dyDescent="0.2">
      <c r="A141" s="29" t="s">
        <v>1245</v>
      </c>
      <c r="B141" s="15" t="s">
        <v>1244</v>
      </c>
      <c r="C141" s="15">
        <v>19580222</v>
      </c>
      <c r="D141" s="15">
        <v>19610929</v>
      </c>
      <c r="E141" t="s">
        <v>2539</v>
      </c>
      <c r="F141" s="27" t="s">
        <v>683</v>
      </c>
      <c r="H141" s="28" t="s">
        <v>608</v>
      </c>
      <c r="I141" s="15" t="s">
        <v>920</v>
      </c>
      <c r="J141" s="27" t="str">
        <f>IF( F141 = "Sovereign", "x", "" )</f>
        <v>x</v>
      </c>
      <c r="K141" s="15">
        <f>( $C141&lt;=$Q$1 )*( $D141 &gt; $Q$1 ) * 1</f>
        <v>0</v>
      </c>
      <c r="L141" s="19"/>
      <c r="M141" s="19"/>
      <c r="O141" s="19">
        <v>140</v>
      </c>
    </row>
    <row r="142" spans="1:15" x14ac:dyDescent="0.2">
      <c r="A142" s="29" t="s">
        <v>920</v>
      </c>
      <c r="B142" s="15" t="s">
        <v>47</v>
      </c>
      <c r="C142" s="15">
        <v>19220228</v>
      </c>
      <c r="D142" s="15">
        <v>19580222</v>
      </c>
      <c r="E142" t="s">
        <v>2540</v>
      </c>
      <c r="F142" s="27" t="s">
        <v>683</v>
      </c>
      <c r="H142" s="28" t="s">
        <v>608</v>
      </c>
      <c r="I142" s="15" t="s">
        <v>1241</v>
      </c>
      <c r="J142" s="27" t="str">
        <f>IF( F142 = "Sovereign", "x", "" )</f>
        <v>x</v>
      </c>
      <c r="K142" s="15">
        <f>( $C142&lt;=$Q$1 )*( $D142 &gt; $Q$1 ) * 1</f>
        <v>0</v>
      </c>
      <c r="L142" s="19"/>
      <c r="M142" s="15" t="s">
        <v>1243</v>
      </c>
      <c r="N142" s="15" t="s">
        <v>248</v>
      </c>
      <c r="O142" s="19">
        <v>141</v>
      </c>
    </row>
    <row r="143" spans="1:15" x14ac:dyDescent="0.2">
      <c r="A143" s="29" t="s">
        <v>1241</v>
      </c>
      <c r="B143" s="15" t="s">
        <v>47</v>
      </c>
      <c r="C143" s="15">
        <v>19141219</v>
      </c>
      <c r="D143" s="15">
        <v>19220228</v>
      </c>
      <c r="E143" s="15" t="s">
        <v>2404</v>
      </c>
      <c r="F143" s="27" t="s">
        <v>684</v>
      </c>
      <c r="G143" s="27" t="s">
        <v>173</v>
      </c>
      <c r="H143" s="28" t="s">
        <v>608</v>
      </c>
      <c r="I143" s="15" t="s">
        <v>1240</v>
      </c>
      <c r="J143" s="27" t="str">
        <f>IF( F143 = "Sovereign", "x", "" )</f>
        <v/>
      </c>
      <c r="K143" s="15">
        <f>( $C143&lt;=$Q$1 )*( $D143 &gt; $Q$1 ) * 1</f>
        <v>0</v>
      </c>
      <c r="L143" s="19"/>
      <c r="M143" s="15" t="s">
        <v>1242</v>
      </c>
      <c r="N143" s="15" t="s">
        <v>248</v>
      </c>
      <c r="O143" s="19">
        <v>142</v>
      </c>
    </row>
    <row r="144" spans="1:15" x14ac:dyDescent="0.2">
      <c r="A144" s="29" t="s">
        <v>1240</v>
      </c>
      <c r="B144" s="15" t="s">
        <v>47</v>
      </c>
      <c r="C144" s="15">
        <v>18050101</v>
      </c>
      <c r="D144" s="15">
        <v>19141219</v>
      </c>
      <c r="E144" t="s">
        <v>2541</v>
      </c>
      <c r="F144" s="27" t="s">
        <v>684</v>
      </c>
      <c r="G144" s="27" t="s">
        <v>681</v>
      </c>
      <c r="H144" s="28" t="s">
        <v>608</v>
      </c>
      <c r="I144" s="15" t="s">
        <v>2479</v>
      </c>
      <c r="J144" s="27" t="str">
        <f>IF( F144 = "Sovereign", "x", "" )</f>
        <v/>
      </c>
      <c r="K144" s="15">
        <f>( $C144&lt;=$Q$1 )*( $D144 &gt; $Q$1 ) * 1</f>
        <v>0</v>
      </c>
      <c r="L144" s="19"/>
      <c r="M144" s="15" t="s">
        <v>1239</v>
      </c>
      <c r="N144" s="15" t="s">
        <v>248</v>
      </c>
      <c r="O144" s="19">
        <v>143</v>
      </c>
    </row>
    <row r="145" spans="1:19" x14ac:dyDescent="0.2">
      <c r="A145" s="29" t="s">
        <v>1520</v>
      </c>
      <c r="B145" s="15" t="s">
        <v>1521</v>
      </c>
      <c r="C145" s="15">
        <v>15170413</v>
      </c>
      <c r="D145" s="15">
        <v>18050101</v>
      </c>
      <c r="E145" t="s">
        <v>2533</v>
      </c>
      <c r="F145" s="27" t="s">
        <v>684</v>
      </c>
      <c r="G145" s="27" t="s">
        <v>681</v>
      </c>
      <c r="H145" s="28" t="s">
        <v>608</v>
      </c>
      <c r="I145" s="15" t="s">
        <v>613</v>
      </c>
      <c r="J145" s="27" t="str">
        <f>IF( F145 = "Sovereign", "x", "" )</f>
        <v/>
      </c>
      <c r="K145" s="15">
        <f>( $C145&lt;=$Q$1 )*( $D145 &gt; $Q$1 ) * 1</f>
        <v>0</v>
      </c>
      <c r="L145" s="19"/>
      <c r="M145" s="19"/>
      <c r="O145" s="19">
        <v>144</v>
      </c>
    </row>
    <row r="146" spans="1:19" x14ac:dyDescent="0.2">
      <c r="A146" s="29" t="s">
        <v>911</v>
      </c>
      <c r="B146" s="15" t="s">
        <v>89</v>
      </c>
      <c r="C146" s="15">
        <v>19511224</v>
      </c>
      <c r="D146" s="32">
        <v>20261231</v>
      </c>
      <c r="E146" t="s">
        <v>2526</v>
      </c>
      <c r="F146" s="27" t="s">
        <v>683</v>
      </c>
      <c r="H146" s="28" t="s">
        <v>608</v>
      </c>
      <c r="I146" s="15" t="s">
        <v>1479</v>
      </c>
      <c r="J146" s="27" t="str">
        <f>IF( F146 = "Sovereign", "x", "" )</f>
        <v>x</v>
      </c>
      <c r="K146" s="15">
        <f>( $C146&lt;=$Q$1 )*( $D146 &gt; $Q$1 ) * 1</f>
        <v>1</v>
      </c>
      <c r="L146" s="19"/>
      <c r="M146" s="15" t="s">
        <v>1123</v>
      </c>
      <c r="N146" s="15" t="s">
        <v>304</v>
      </c>
      <c r="O146" s="19">
        <v>145</v>
      </c>
    </row>
    <row r="147" spans="1:19" x14ac:dyDescent="0.2">
      <c r="A147" s="29" t="s">
        <v>1476</v>
      </c>
      <c r="B147" s="15" t="s">
        <v>1474</v>
      </c>
      <c r="C147" s="15">
        <v>19430513</v>
      </c>
      <c r="D147" s="15">
        <v>19511224</v>
      </c>
      <c r="E147" s="15" t="s">
        <v>2404</v>
      </c>
      <c r="F147" s="27" t="s">
        <v>684</v>
      </c>
      <c r="G147" s="27" t="s">
        <v>173</v>
      </c>
      <c r="H147" s="28" t="s">
        <v>608</v>
      </c>
      <c r="I147" s="15" t="s">
        <v>1478</v>
      </c>
      <c r="J147" s="27" t="str">
        <f>IF( F147 = "Sovereign", "x", "" )</f>
        <v/>
      </c>
      <c r="K147" s="15">
        <f>( $C147&lt;=$Q$1 )*( $D147 &gt; $Q$1 ) * 1</f>
        <v>0</v>
      </c>
      <c r="L147" s="19"/>
      <c r="M147" s="15" t="s">
        <v>1124</v>
      </c>
      <c r="N147" s="15" t="s">
        <v>304</v>
      </c>
      <c r="O147" s="19">
        <v>146</v>
      </c>
    </row>
    <row r="148" spans="1:19" x14ac:dyDescent="0.2">
      <c r="A148" s="29" t="s">
        <v>1477</v>
      </c>
      <c r="B148" s="15" t="s">
        <v>1473</v>
      </c>
      <c r="C148" s="15">
        <v>19430513</v>
      </c>
      <c r="D148" s="15">
        <v>19511224</v>
      </c>
      <c r="E148" s="15" t="s">
        <v>2408</v>
      </c>
      <c r="F148" s="27" t="s">
        <v>684</v>
      </c>
      <c r="G148" s="27" t="s">
        <v>184</v>
      </c>
      <c r="H148" s="28" t="s">
        <v>608</v>
      </c>
      <c r="I148" s="15" t="s">
        <v>1478</v>
      </c>
      <c r="J148" s="27" t="str">
        <f>IF( F148 = "Sovereign", "x", "" )</f>
        <v/>
      </c>
      <c r="K148" s="15">
        <f>( $C148&lt;=$Q$1 )*( $D148 &gt; $Q$1 ) * 1</f>
        <v>0</v>
      </c>
      <c r="L148" s="19"/>
      <c r="M148" s="19"/>
      <c r="O148" s="19">
        <v>147</v>
      </c>
    </row>
    <row r="149" spans="1:19" x14ac:dyDescent="0.2">
      <c r="A149" s="29" t="s">
        <v>1478</v>
      </c>
      <c r="B149" s="15" t="s">
        <v>1121</v>
      </c>
      <c r="C149" s="15">
        <v>19340101</v>
      </c>
      <c r="D149" s="15">
        <v>19430513</v>
      </c>
      <c r="E149" s="15" t="s">
        <v>2416</v>
      </c>
      <c r="F149" s="27" t="s">
        <v>684</v>
      </c>
      <c r="G149" s="27" t="s">
        <v>74</v>
      </c>
      <c r="H149" s="28" t="s">
        <v>608</v>
      </c>
      <c r="I149" s="15" t="s">
        <v>1128</v>
      </c>
      <c r="J149" s="27" t="str">
        <f>IF( F149 = "Sovereign", "x", "" )</f>
        <v/>
      </c>
      <c r="K149" s="15">
        <f>( $C149&lt;=$Q$1 )*( $D149 &gt; $Q$1 ) * 1</f>
        <v>0</v>
      </c>
      <c r="L149" s="19"/>
      <c r="M149" s="15" t="s">
        <v>1122</v>
      </c>
      <c r="N149" s="15" t="s">
        <v>304</v>
      </c>
      <c r="O149" s="19">
        <v>148</v>
      </c>
    </row>
    <row r="150" spans="1:19" x14ac:dyDescent="0.2">
      <c r="A150" s="29" t="s">
        <v>1127</v>
      </c>
      <c r="B150" s="15" t="s">
        <v>1119</v>
      </c>
      <c r="C150" s="15">
        <v>19111111</v>
      </c>
      <c r="D150" s="15">
        <v>19340101</v>
      </c>
      <c r="E150" s="15" t="s">
        <v>2416</v>
      </c>
      <c r="F150" s="27" t="s">
        <v>684</v>
      </c>
      <c r="G150" s="27" t="s">
        <v>74</v>
      </c>
      <c r="H150" s="28" t="s">
        <v>608</v>
      </c>
      <c r="I150" s="15" t="s">
        <v>1125</v>
      </c>
      <c r="J150" s="27" t="str">
        <f>IF( F150 = "Sovereign", "x", "" )</f>
        <v/>
      </c>
      <c r="K150" s="15">
        <f>( $C150&lt;=$Q$1 )*( $D150 &gt; $Q$1 ) * 1</f>
        <v>0</v>
      </c>
      <c r="L150" s="19"/>
      <c r="M150" s="15" t="s">
        <v>1119</v>
      </c>
      <c r="N150" s="15" t="s">
        <v>1120</v>
      </c>
      <c r="O150" s="19">
        <v>149</v>
      </c>
    </row>
    <row r="151" spans="1:19" x14ac:dyDescent="0.2">
      <c r="A151" s="29" t="s">
        <v>1126</v>
      </c>
      <c r="B151" s="15" t="s">
        <v>1118</v>
      </c>
      <c r="C151" s="15">
        <v>19111111</v>
      </c>
      <c r="D151" s="15">
        <v>19340101</v>
      </c>
      <c r="E151" s="15" t="s">
        <v>2416</v>
      </c>
      <c r="F151" s="27" t="s">
        <v>684</v>
      </c>
      <c r="G151" s="27" t="s">
        <v>74</v>
      </c>
      <c r="H151" s="28" t="s">
        <v>608</v>
      </c>
      <c r="I151" s="15" t="s">
        <v>1125</v>
      </c>
      <c r="J151" s="27" t="str">
        <f>IF( F151 = "Sovereign", "x", "" )</f>
        <v/>
      </c>
      <c r="K151" s="15">
        <f>( $C151&lt;=$Q$1 )*( $D151 &gt; $Q$1 ) * 1</f>
        <v>0</v>
      </c>
      <c r="L151" s="19"/>
      <c r="M151" s="15" t="s">
        <v>1118</v>
      </c>
      <c r="N151" s="15" t="s">
        <v>304</v>
      </c>
      <c r="O151" s="19">
        <v>150</v>
      </c>
    </row>
    <row r="152" spans="1:19" x14ac:dyDescent="0.2">
      <c r="A152" s="29" t="s">
        <v>1125</v>
      </c>
      <c r="B152" s="15" t="s">
        <v>1117</v>
      </c>
      <c r="C152" s="15">
        <v>15510101</v>
      </c>
      <c r="D152" s="15">
        <v>19111111</v>
      </c>
      <c r="E152" t="s">
        <v>2527</v>
      </c>
      <c r="F152" s="27" t="s">
        <v>684</v>
      </c>
      <c r="G152" s="27" t="s">
        <v>681</v>
      </c>
      <c r="H152" s="28" t="s">
        <v>608</v>
      </c>
      <c r="I152" s="15" t="s">
        <v>613</v>
      </c>
      <c r="J152" s="27" t="str">
        <f>IF( F152 = "Sovereign", "x", "" )</f>
        <v/>
      </c>
      <c r="K152" s="15">
        <f>( $C152&lt;=$Q$1 )*( $D152 &gt; $Q$1 ) * 1</f>
        <v>0</v>
      </c>
      <c r="L152" s="19"/>
      <c r="M152" s="19"/>
      <c r="O152" s="19">
        <v>151</v>
      </c>
    </row>
    <row r="153" spans="1:19" x14ac:dyDescent="0.2">
      <c r="A153" s="29" t="s">
        <v>924</v>
      </c>
      <c r="B153" s="15" t="s">
        <v>166</v>
      </c>
      <c r="C153" s="15">
        <v>19560320</v>
      </c>
      <c r="D153" s="15">
        <v>20261231</v>
      </c>
      <c r="E153" t="s">
        <v>2528</v>
      </c>
      <c r="F153" s="27" t="s">
        <v>683</v>
      </c>
      <c r="H153" s="28" t="s">
        <v>608</v>
      </c>
      <c r="I153" s="15" t="s">
        <v>1228</v>
      </c>
      <c r="J153" s="27" t="str">
        <f>IF( F153 = "Sovereign", "x", "" )</f>
        <v>x</v>
      </c>
      <c r="K153" s="15">
        <f>( $C153&lt;=$Q$1 )*( $D153 &gt; $Q$1 ) * 1</f>
        <v>1</v>
      </c>
      <c r="L153" s="19"/>
      <c r="M153" s="15" t="s">
        <v>1226</v>
      </c>
      <c r="N153" s="15" t="s">
        <v>381</v>
      </c>
      <c r="O153" s="19">
        <v>152</v>
      </c>
    </row>
    <row r="154" spans="1:19" x14ac:dyDescent="0.2">
      <c r="A154" s="29" t="s">
        <v>1228</v>
      </c>
      <c r="B154" s="15" t="s">
        <v>166</v>
      </c>
      <c r="C154" s="15">
        <v>18810512</v>
      </c>
      <c r="D154" s="15">
        <v>19560320</v>
      </c>
      <c r="E154" s="15" t="s">
        <v>2408</v>
      </c>
      <c r="F154" s="27" t="s">
        <v>684</v>
      </c>
      <c r="G154" s="27" t="s">
        <v>184</v>
      </c>
      <c r="H154" s="28" t="s">
        <v>608</v>
      </c>
      <c r="I154" s="15" t="s">
        <v>1523</v>
      </c>
      <c r="J154" s="27" t="str">
        <f>IF( F154 = "Sovereign", "x", "" )</f>
        <v/>
      </c>
      <c r="K154" s="15">
        <f>( $C154&lt;=$Q$1 )*( $D154 &gt; $Q$1 ) * 1</f>
        <v>0</v>
      </c>
      <c r="L154" s="19"/>
      <c r="M154" s="15" t="s">
        <v>1227</v>
      </c>
      <c r="N154" s="15" t="s">
        <v>381</v>
      </c>
      <c r="O154" s="19">
        <v>153</v>
      </c>
    </row>
    <row r="155" spans="1:19" x14ac:dyDescent="0.2">
      <c r="A155" s="29" t="s">
        <v>1523</v>
      </c>
      <c r="B155" s="15" t="s">
        <v>1522</v>
      </c>
      <c r="C155" s="15">
        <v>15740101</v>
      </c>
      <c r="D155" s="15">
        <v>18810512</v>
      </c>
      <c r="E155" t="s">
        <v>2529</v>
      </c>
      <c r="F155" s="27" t="s">
        <v>684</v>
      </c>
      <c r="G155" s="27" t="s">
        <v>681</v>
      </c>
      <c r="H155" s="28" t="s">
        <v>608</v>
      </c>
      <c r="I155" s="15" t="s">
        <v>613</v>
      </c>
      <c r="J155" s="27" t="str">
        <f>IF( F155 = "Sovereign", "x", "" )</f>
        <v/>
      </c>
      <c r="K155" s="15">
        <f>( $C155&lt;=$Q$1 )*( $D155 &gt; $Q$1 ) * 1</f>
        <v>0</v>
      </c>
      <c r="L155" s="19"/>
      <c r="M155" s="19"/>
      <c r="O155" s="19">
        <v>154</v>
      </c>
    </row>
    <row r="156" spans="1:19" x14ac:dyDescent="0.2">
      <c r="A156" s="29" t="s">
        <v>921</v>
      </c>
      <c r="B156" s="15" t="s">
        <v>2</v>
      </c>
      <c r="C156" s="15">
        <v>19620705</v>
      </c>
      <c r="D156" s="15">
        <v>20261231</v>
      </c>
      <c r="E156" t="s">
        <v>2530</v>
      </c>
      <c r="F156" s="27" t="s">
        <v>683</v>
      </c>
      <c r="H156" s="28" t="s">
        <v>608</v>
      </c>
      <c r="I156" s="15" t="s">
        <v>1237</v>
      </c>
      <c r="J156" s="27" t="str">
        <f>IF( F156 = "Sovereign", "x", "" )</f>
        <v>x</v>
      </c>
      <c r="K156" s="15">
        <f>( $C156&lt;=$Q$1 )*( $D156 &gt; $Q$1 ) * 1</f>
        <v>1</v>
      </c>
      <c r="L156" s="19"/>
      <c r="M156" s="15" t="s">
        <v>1238</v>
      </c>
      <c r="N156" s="15" t="s">
        <v>191</v>
      </c>
      <c r="O156" s="19">
        <v>155</v>
      </c>
      <c r="S156" s="17"/>
    </row>
    <row r="157" spans="1:19" x14ac:dyDescent="0.2">
      <c r="A157" s="29" t="s">
        <v>1237</v>
      </c>
      <c r="B157" s="15" t="s">
        <v>1236</v>
      </c>
      <c r="C157" s="15">
        <v>18300705</v>
      </c>
      <c r="D157" s="15">
        <v>19620705</v>
      </c>
      <c r="E157" s="15" t="s">
        <v>2408</v>
      </c>
      <c r="F157" s="27" t="s">
        <v>684</v>
      </c>
      <c r="G157" s="27" t="s">
        <v>184</v>
      </c>
      <c r="H157" s="28" t="s">
        <v>608</v>
      </c>
      <c r="I157" s="15" t="s">
        <v>1525</v>
      </c>
      <c r="J157" s="27" t="str">
        <f>IF( F157 = "Sovereign", "x", "" )</f>
        <v/>
      </c>
      <c r="K157" s="15">
        <f>( $C157&lt;=$Q$1 )*( $D157 &gt; $Q$1 ) * 1</f>
        <v>0</v>
      </c>
      <c r="L157" s="19"/>
      <c r="M157" s="15" t="s">
        <v>1236</v>
      </c>
      <c r="N157" s="15" t="s">
        <v>191</v>
      </c>
      <c r="O157" s="19">
        <v>156</v>
      </c>
      <c r="S157" s="17"/>
    </row>
    <row r="158" spans="1:19" x14ac:dyDescent="0.2">
      <c r="A158" s="29" t="s">
        <v>1525</v>
      </c>
      <c r="B158" s="15" t="s">
        <v>1524</v>
      </c>
      <c r="C158" s="15">
        <v>15160101</v>
      </c>
      <c r="D158" s="15">
        <v>18300705</v>
      </c>
      <c r="E158" t="s">
        <v>2531</v>
      </c>
      <c r="F158" s="27" t="s">
        <v>684</v>
      </c>
      <c r="G158" s="27" t="s">
        <v>681</v>
      </c>
      <c r="H158" s="28" t="s">
        <v>608</v>
      </c>
      <c r="I158" s="15" t="s">
        <v>613</v>
      </c>
      <c r="J158" s="27" t="str">
        <f>IF( F158 = "Sovereign", "x", "" )</f>
        <v/>
      </c>
      <c r="K158" s="15">
        <f>( $C158&lt;=$Q$1 )*( $D158 &gt; $Q$1 ) * 1</f>
        <v>0</v>
      </c>
      <c r="L158" s="19"/>
      <c r="M158" s="19"/>
      <c r="O158" s="19">
        <v>157</v>
      </c>
      <c r="S158" s="17"/>
    </row>
    <row r="159" spans="1:19" x14ac:dyDescent="0.2">
      <c r="A159" s="29" t="s">
        <v>932</v>
      </c>
      <c r="B159" s="15" t="s">
        <v>185</v>
      </c>
      <c r="C159" s="15">
        <v>19560407</v>
      </c>
      <c r="D159" s="15">
        <v>20261231</v>
      </c>
      <c r="E159" t="s">
        <v>2533</v>
      </c>
      <c r="F159" s="27" t="s">
        <v>683</v>
      </c>
      <c r="H159" s="28" t="s">
        <v>608</v>
      </c>
      <c r="I159" s="15" t="s">
        <v>1234</v>
      </c>
      <c r="J159" s="27" t="str">
        <f>IF( F159 = "Sovereign", "x", "" )</f>
        <v>x</v>
      </c>
      <c r="K159" s="15">
        <f>( $C159&lt;=$Q$1 )*( $D159 &gt; $Q$1 ) * 1</f>
        <v>1</v>
      </c>
      <c r="L159" s="19"/>
      <c r="M159" s="15" t="s">
        <v>1229</v>
      </c>
      <c r="N159" s="15" t="s">
        <v>320</v>
      </c>
      <c r="O159" s="19">
        <v>158</v>
      </c>
    </row>
    <row r="160" spans="1:19" x14ac:dyDescent="0.2">
      <c r="A160" s="29" t="s">
        <v>1233</v>
      </c>
      <c r="B160" s="15" t="s">
        <v>185</v>
      </c>
      <c r="C160" s="15">
        <v>19120330</v>
      </c>
      <c r="D160" s="15">
        <v>19560407</v>
      </c>
      <c r="E160" s="15" t="s">
        <v>2408</v>
      </c>
      <c r="F160" s="27" t="s">
        <v>684</v>
      </c>
      <c r="G160" s="27" t="s">
        <v>184</v>
      </c>
      <c r="H160" s="28" t="s">
        <v>608</v>
      </c>
      <c r="I160" s="15" t="s">
        <v>613</v>
      </c>
      <c r="J160" s="27" t="str">
        <f>IF( F160 = "Sovereign", "x", "" )</f>
        <v/>
      </c>
      <c r="K160" s="15">
        <f>( $C160&lt;=$Q$1 )*( $D160 &gt; $Q$1 ) * 1</f>
        <v>0</v>
      </c>
      <c r="L160" s="19"/>
      <c r="M160" s="15" t="s">
        <v>1235</v>
      </c>
      <c r="N160" s="15" t="s">
        <v>320</v>
      </c>
      <c r="O160" s="19">
        <v>159</v>
      </c>
    </row>
    <row r="161" spans="1:15" x14ac:dyDescent="0.2">
      <c r="A161" s="29" t="s">
        <v>1232</v>
      </c>
      <c r="B161" s="15" t="s">
        <v>185</v>
      </c>
      <c r="C161" s="15">
        <v>19121127</v>
      </c>
      <c r="D161" s="15">
        <v>19560407</v>
      </c>
      <c r="E161" s="15" t="s">
        <v>2412</v>
      </c>
      <c r="F161" s="27" t="s">
        <v>684</v>
      </c>
      <c r="G161" s="27" t="s">
        <v>152</v>
      </c>
      <c r="H161" s="28" t="s">
        <v>608</v>
      </c>
      <c r="I161" s="15" t="s">
        <v>613</v>
      </c>
      <c r="J161" s="27" t="str">
        <f>IF( F161 = "Sovereign", "x", "" )</f>
        <v/>
      </c>
      <c r="K161" s="15">
        <f>( $C161&lt;=$Q$1 )*( $D161 &gt; $Q$1 ) * 1</f>
        <v>0</v>
      </c>
      <c r="L161" s="19"/>
      <c r="M161" s="15" t="s">
        <v>1230</v>
      </c>
      <c r="N161" s="15" t="s">
        <v>1231</v>
      </c>
      <c r="O161" s="19">
        <v>160</v>
      </c>
    </row>
    <row r="162" spans="1:15" x14ac:dyDescent="0.2">
      <c r="A162" s="43" t="s">
        <v>2496</v>
      </c>
      <c r="B162" s="15" t="s">
        <v>2495</v>
      </c>
      <c r="C162" s="15">
        <v>18841226</v>
      </c>
      <c r="D162" s="15">
        <v>19751114</v>
      </c>
      <c r="E162" s="15" t="s">
        <v>2412</v>
      </c>
      <c r="F162" s="27" t="s">
        <v>684</v>
      </c>
      <c r="G162" s="27" t="s">
        <v>152</v>
      </c>
      <c r="H162" s="28" t="s">
        <v>608</v>
      </c>
      <c r="I162" s="15" t="s">
        <v>613</v>
      </c>
      <c r="J162" s="27" t="str">
        <f>IF( F162 = "Sovereign", "x", "" )</f>
        <v/>
      </c>
      <c r="K162" s="15">
        <f>( $C162&lt;=$Q$1 )*( $D162 &gt; $Q$1 ) * 1</f>
        <v>0</v>
      </c>
      <c r="L162" s="19"/>
      <c r="O162" s="19">
        <v>161</v>
      </c>
    </row>
    <row r="163" spans="1:15" x14ac:dyDescent="0.2">
      <c r="A163" s="43" t="s">
        <v>2497</v>
      </c>
      <c r="B163" s="15" t="s">
        <v>2495</v>
      </c>
      <c r="C163" s="15">
        <v>19751114</v>
      </c>
      <c r="D163" s="15">
        <v>20261231</v>
      </c>
      <c r="E163" t="s">
        <v>2534</v>
      </c>
      <c r="F163" s="27" t="s">
        <v>683</v>
      </c>
      <c r="H163" s="28" t="s">
        <v>608</v>
      </c>
      <c r="I163" s="15" t="s">
        <v>613</v>
      </c>
      <c r="J163" s="27" t="str">
        <f>IF( F163 = "Sovereign", "x", "" )</f>
        <v>x</v>
      </c>
      <c r="K163" s="15">
        <f>( $C163&lt;=$Q$1 )*( $D163 &gt; $Q$1 ) * 1</f>
        <v>1</v>
      </c>
      <c r="L163" s="19"/>
      <c r="O163" s="19">
        <v>162</v>
      </c>
    </row>
    <row r="164" spans="1:15" x14ac:dyDescent="0.2">
      <c r="A164" s="29" t="s">
        <v>820</v>
      </c>
      <c r="B164" s="15" t="s">
        <v>657</v>
      </c>
      <c r="C164" s="15">
        <v>18220907</v>
      </c>
      <c r="D164" s="15">
        <v>20261231</v>
      </c>
      <c r="E164" t="s">
        <v>2507</v>
      </c>
      <c r="F164" s="27" t="s">
        <v>683</v>
      </c>
      <c r="H164" s="28" t="s">
        <v>610</v>
      </c>
      <c r="I164" s="15" t="s">
        <v>821</v>
      </c>
      <c r="J164" s="27" t="str">
        <f>IF( F164 = "Sovereign", "x", "" )</f>
        <v>x</v>
      </c>
      <c r="K164" s="15">
        <f>( $C164&lt;=$Q$1 )*( $D164 &gt; $Q$1 ) * 1</f>
        <v>1</v>
      </c>
      <c r="L164" s="19" t="s">
        <v>624</v>
      </c>
      <c r="M164" s="15" t="s">
        <v>657</v>
      </c>
      <c r="N164" s="15" t="s">
        <v>655</v>
      </c>
      <c r="O164" s="19">
        <v>163</v>
      </c>
    </row>
    <row r="165" spans="1:15" x14ac:dyDescent="0.2">
      <c r="A165" s="29" t="s">
        <v>821</v>
      </c>
      <c r="B165" s="15" t="s">
        <v>22</v>
      </c>
      <c r="C165" s="15">
        <v>18151216</v>
      </c>
      <c r="D165" s="15">
        <v>18220907</v>
      </c>
      <c r="E165" t="s">
        <v>2508</v>
      </c>
      <c r="F165" s="27" t="s">
        <v>683</v>
      </c>
      <c r="H165" s="28" t="s">
        <v>610</v>
      </c>
      <c r="I165" s="15" t="s">
        <v>819</v>
      </c>
      <c r="J165" s="27" t="str">
        <f>IF( F165 = "Sovereign", "x", "" )</f>
        <v>x</v>
      </c>
      <c r="K165" s="15">
        <f>( $C165&lt;=$Q$1 )*( $D165 &gt; $Q$1 ) * 1</f>
        <v>0</v>
      </c>
      <c r="L165" s="19" t="s">
        <v>624</v>
      </c>
      <c r="M165" s="15" t="s">
        <v>656</v>
      </c>
      <c r="N165" s="15" t="s">
        <v>655</v>
      </c>
      <c r="O165" s="19">
        <v>164</v>
      </c>
    </row>
    <row r="166" spans="1:15" x14ac:dyDescent="0.2">
      <c r="A166" s="29" t="s">
        <v>819</v>
      </c>
      <c r="B166" s="15" t="s">
        <v>653</v>
      </c>
      <c r="C166" s="15">
        <v>15490101</v>
      </c>
      <c r="D166" s="15">
        <v>18151216</v>
      </c>
      <c r="E166" t="s">
        <v>2509</v>
      </c>
      <c r="F166" s="27" t="s">
        <v>684</v>
      </c>
      <c r="G166" s="27" t="s">
        <v>128</v>
      </c>
      <c r="H166" s="28" t="s">
        <v>610</v>
      </c>
      <c r="I166" s="15" t="s">
        <v>613</v>
      </c>
      <c r="J166" s="27" t="str">
        <f>IF( F166 = "Sovereign", "x", "" )</f>
        <v/>
      </c>
      <c r="K166" s="15">
        <f>( $C166&lt;=$Q$1 )*( $D166 &gt; $Q$1 ) * 1</f>
        <v>0</v>
      </c>
      <c r="L166" s="19" t="s">
        <v>624</v>
      </c>
      <c r="M166" s="15" t="s">
        <v>653</v>
      </c>
      <c r="N166" s="15" t="s">
        <v>654</v>
      </c>
      <c r="O166" s="19">
        <v>165</v>
      </c>
    </row>
    <row r="167" spans="1:15" x14ac:dyDescent="0.2">
      <c r="A167" s="29" t="s">
        <v>2377</v>
      </c>
      <c r="B167" s="15" t="s">
        <v>174</v>
      </c>
      <c r="C167" s="15">
        <v>18250825</v>
      </c>
      <c r="D167" s="15">
        <v>20261231</v>
      </c>
      <c r="E167" t="s">
        <v>2510</v>
      </c>
      <c r="F167" s="27" t="s">
        <v>683</v>
      </c>
      <c r="H167" s="28" t="s">
        <v>610</v>
      </c>
      <c r="I167" s="15" t="s">
        <v>790</v>
      </c>
      <c r="J167" s="27" t="str">
        <f>IF( F167 = "Sovereign", "x", "" )</f>
        <v>x</v>
      </c>
      <c r="K167" s="15">
        <f>( $C167&lt;=$Q$1 )*( $D167 &gt; $Q$1 ) * 1</f>
        <v>1</v>
      </c>
      <c r="L167" s="19" t="s">
        <v>624</v>
      </c>
      <c r="M167" s="15" t="s">
        <v>792</v>
      </c>
      <c r="N167" s="15" t="s">
        <v>391</v>
      </c>
      <c r="O167" s="19">
        <v>166</v>
      </c>
    </row>
    <row r="168" spans="1:15" x14ac:dyDescent="0.2">
      <c r="A168" s="29" t="s">
        <v>790</v>
      </c>
      <c r="B168" s="15" t="s">
        <v>789</v>
      </c>
      <c r="C168" s="15">
        <v>18170120</v>
      </c>
      <c r="D168" s="15">
        <v>18250825</v>
      </c>
      <c r="E168" t="s">
        <v>2511</v>
      </c>
      <c r="F168" s="27" t="s">
        <v>684</v>
      </c>
      <c r="G168" s="27" t="s">
        <v>22</v>
      </c>
      <c r="H168" s="28" t="s">
        <v>610</v>
      </c>
      <c r="I168" s="15" t="s">
        <v>816</v>
      </c>
      <c r="J168" s="27" t="str">
        <f>IF( F168 = "Sovereign", "x", "" )</f>
        <v/>
      </c>
      <c r="K168" s="15">
        <f>( $C168&lt;=$Q$1 )*( $D168 &gt; $Q$1 ) * 1</f>
        <v>0</v>
      </c>
      <c r="L168" s="19" t="s">
        <v>624</v>
      </c>
      <c r="M168" s="15" t="s">
        <v>788</v>
      </c>
      <c r="N168" s="15" t="s">
        <v>391</v>
      </c>
      <c r="O168" s="19">
        <v>167</v>
      </c>
    </row>
    <row r="169" spans="1:15" x14ac:dyDescent="0.2">
      <c r="A169" s="29" t="s">
        <v>2342</v>
      </c>
      <c r="B169" s="15" t="s">
        <v>645</v>
      </c>
      <c r="C169" s="15">
        <v>18100525</v>
      </c>
      <c r="D169" s="15">
        <v>18160709</v>
      </c>
      <c r="E169" t="s">
        <v>2510</v>
      </c>
      <c r="F169" s="27" t="s">
        <v>683</v>
      </c>
      <c r="H169" s="28" t="s">
        <v>610</v>
      </c>
      <c r="I169" s="15" t="s">
        <v>791</v>
      </c>
      <c r="J169" s="27" t="str">
        <f>IF( F169 = "Sovereign", "x", "" )</f>
        <v>x</v>
      </c>
      <c r="K169" s="15">
        <f>( $C169&lt;=$Q$1 )*( $D169 &gt; $Q$1 ) * 1</f>
        <v>0</v>
      </c>
      <c r="L169" s="19" t="s">
        <v>624</v>
      </c>
      <c r="M169" s="15" t="s">
        <v>645</v>
      </c>
      <c r="N169" s="15" t="s">
        <v>197</v>
      </c>
      <c r="O169" s="19">
        <v>168</v>
      </c>
    </row>
    <row r="170" spans="1:15" x14ac:dyDescent="0.2">
      <c r="A170" s="29" t="s">
        <v>791</v>
      </c>
      <c r="B170" s="15" t="s">
        <v>644</v>
      </c>
      <c r="C170" s="15">
        <v>17760801</v>
      </c>
      <c r="D170" s="15">
        <v>18100525</v>
      </c>
      <c r="E170" t="s">
        <v>2512</v>
      </c>
      <c r="F170" s="27" t="s">
        <v>684</v>
      </c>
      <c r="G170" s="27" t="s">
        <v>152</v>
      </c>
      <c r="H170" s="28" t="s">
        <v>610</v>
      </c>
      <c r="I170" s="15" t="s">
        <v>793</v>
      </c>
      <c r="J170" s="27" t="str">
        <f>IF( F170 = "Sovereign", "x", "" )</f>
        <v/>
      </c>
      <c r="K170" s="15">
        <f>( $C170&lt;=$Q$1 )*( $D170 &gt; $Q$1 ) * 1</f>
        <v>0</v>
      </c>
      <c r="L170" s="19" t="s">
        <v>624</v>
      </c>
      <c r="M170" s="15" t="s">
        <v>644</v>
      </c>
      <c r="N170" s="15" t="s">
        <v>197</v>
      </c>
      <c r="O170" s="19">
        <v>169</v>
      </c>
    </row>
    <row r="171" spans="1:15" x14ac:dyDescent="0.2">
      <c r="A171" s="29" t="s">
        <v>813</v>
      </c>
      <c r="B171" s="15" t="s">
        <v>124</v>
      </c>
      <c r="C171" s="15">
        <v>18110514</v>
      </c>
      <c r="D171" s="15">
        <v>20261231</v>
      </c>
      <c r="E171" t="s">
        <v>2513</v>
      </c>
      <c r="F171" s="27" t="s">
        <v>683</v>
      </c>
      <c r="H171" s="28" t="s">
        <v>610</v>
      </c>
      <c r="I171" s="15" t="s">
        <v>2342</v>
      </c>
      <c r="J171" s="27" t="str">
        <f>IF( F171 = "Sovereign", "x", "" )</f>
        <v>x</v>
      </c>
      <c r="K171" s="15">
        <f>( $C171&lt;=$Q$1 )*( $D171 &gt; $Q$1 ) * 1</f>
        <v>1</v>
      </c>
      <c r="L171" s="19" t="s">
        <v>624</v>
      </c>
      <c r="M171" s="15" t="s">
        <v>814</v>
      </c>
      <c r="N171" s="15" t="s">
        <v>339</v>
      </c>
      <c r="O171" s="19">
        <v>170</v>
      </c>
    </row>
    <row r="172" spans="1:15" x14ac:dyDescent="0.2">
      <c r="A172" s="29" t="s">
        <v>816</v>
      </c>
      <c r="B172" s="15" t="s">
        <v>6</v>
      </c>
      <c r="C172" s="15">
        <v>18160709</v>
      </c>
      <c r="D172" s="15">
        <v>20261231</v>
      </c>
      <c r="E172" t="s">
        <v>2514</v>
      </c>
      <c r="F172" s="27" t="s">
        <v>683</v>
      </c>
      <c r="H172" s="28" t="s">
        <v>610</v>
      </c>
      <c r="I172" s="15" t="s">
        <v>2342</v>
      </c>
      <c r="J172" s="27" t="str">
        <f>IF( F172 = "Sovereign", "x", "" )</f>
        <v>x</v>
      </c>
      <c r="K172" s="15">
        <f>( $C172&lt;=$Q$1 )*( $D172 &gt; $Q$1 ) * 1</f>
        <v>1</v>
      </c>
      <c r="L172" s="19" t="s">
        <v>624</v>
      </c>
      <c r="M172" s="15" t="s">
        <v>815</v>
      </c>
      <c r="N172" s="15" t="s">
        <v>197</v>
      </c>
      <c r="O172" s="19">
        <v>171</v>
      </c>
    </row>
    <row r="173" spans="1:15" x14ac:dyDescent="0.2">
      <c r="A173" s="29" t="s">
        <v>869</v>
      </c>
      <c r="B173" s="15" t="s">
        <v>868</v>
      </c>
      <c r="C173" s="15">
        <v>18330103</v>
      </c>
      <c r="D173" s="15">
        <v>20261231</v>
      </c>
      <c r="E173" t="s">
        <v>2515</v>
      </c>
      <c r="F173" s="27" t="s">
        <v>684</v>
      </c>
      <c r="G173" s="27" t="s">
        <v>173</v>
      </c>
      <c r="H173" s="15" t="s">
        <v>610</v>
      </c>
      <c r="I173" s="15" t="s">
        <v>613</v>
      </c>
      <c r="J173" s="27" t="str">
        <f>IF( F173 = "Sovereign", "x", "" )</f>
        <v/>
      </c>
      <c r="K173" s="15">
        <f>( $C173&lt;=$Q$1 )*( $D173 &gt; $Q$1 ) * 1</f>
        <v>1</v>
      </c>
      <c r="L173" s="19" t="s">
        <v>624</v>
      </c>
      <c r="M173" s="15" t="s">
        <v>868</v>
      </c>
      <c r="N173" s="15" t="s">
        <v>867</v>
      </c>
      <c r="O173" s="19">
        <v>172</v>
      </c>
    </row>
    <row r="174" spans="1:15" x14ac:dyDescent="0.2">
      <c r="A174" s="29" t="s">
        <v>817</v>
      </c>
      <c r="B174" s="15" t="s">
        <v>19</v>
      </c>
      <c r="C174" s="15">
        <v>18250806</v>
      </c>
      <c r="D174" s="15">
        <v>20261231</v>
      </c>
      <c r="E174" t="s">
        <v>2516</v>
      </c>
      <c r="F174" s="27" t="s">
        <v>683</v>
      </c>
      <c r="H174" s="28" t="s">
        <v>610</v>
      </c>
      <c r="I174" s="15" t="s">
        <v>816</v>
      </c>
      <c r="J174" s="27" t="str">
        <f>IF( F174 = "Sovereign", "x", "" )</f>
        <v>x</v>
      </c>
      <c r="K174" s="15">
        <f>( $C174&lt;=$Q$1 )*( $D174 &gt; $Q$1 ) * 1</f>
        <v>1</v>
      </c>
      <c r="L174" s="19" t="s">
        <v>624</v>
      </c>
      <c r="M174" s="15" t="s">
        <v>818</v>
      </c>
      <c r="N174" s="15" t="s">
        <v>213</v>
      </c>
      <c r="O174" s="19">
        <v>173</v>
      </c>
    </row>
    <row r="175" spans="1:15" x14ac:dyDescent="0.2">
      <c r="A175" s="29" t="s">
        <v>796</v>
      </c>
      <c r="B175" s="15" t="s">
        <v>32</v>
      </c>
      <c r="C175" s="15">
        <v>18180212</v>
      </c>
      <c r="D175" s="15">
        <v>20261231</v>
      </c>
      <c r="E175" t="s">
        <v>2517</v>
      </c>
      <c r="F175" s="27" t="s">
        <v>683</v>
      </c>
      <c r="H175" s="28" t="s">
        <v>610</v>
      </c>
      <c r="I175" s="15" t="s">
        <v>795</v>
      </c>
      <c r="J175" s="27" t="str">
        <f>IF( F175 = "Sovereign", "x", "" )</f>
        <v>x</v>
      </c>
      <c r="K175" s="15">
        <f>( $C175&lt;=$Q$1 )*( $D175 &gt; $Q$1 ) * 1</f>
        <v>1</v>
      </c>
      <c r="L175" s="19" t="s">
        <v>624</v>
      </c>
      <c r="M175" s="15" t="s">
        <v>797</v>
      </c>
      <c r="N175" s="15" t="s">
        <v>229</v>
      </c>
      <c r="O175" s="19">
        <v>174</v>
      </c>
    </row>
    <row r="176" spans="1:15" x14ac:dyDescent="0.2">
      <c r="A176" s="29" t="s">
        <v>795</v>
      </c>
      <c r="B176" s="15" t="s">
        <v>798</v>
      </c>
      <c r="C176" s="15">
        <v>15410101</v>
      </c>
      <c r="D176" s="15">
        <v>18180212</v>
      </c>
      <c r="E176" t="s">
        <v>2512</v>
      </c>
      <c r="F176" s="27" t="s">
        <v>684</v>
      </c>
      <c r="G176" s="27" t="s">
        <v>152</v>
      </c>
      <c r="H176" s="28" t="s">
        <v>610</v>
      </c>
      <c r="I176" s="15" t="s">
        <v>613</v>
      </c>
      <c r="J176" s="27" t="str">
        <f>IF( F176 = "Sovereign", "x", "" )</f>
        <v/>
      </c>
      <c r="K176" s="15">
        <f>( $C176&lt;=$Q$1 )*( $D176 &gt; $Q$1 ) * 1</f>
        <v>0</v>
      </c>
      <c r="L176" s="19" t="s">
        <v>624</v>
      </c>
      <c r="M176" s="15" t="s">
        <v>798</v>
      </c>
      <c r="N176" s="15" t="s">
        <v>229</v>
      </c>
      <c r="O176" s="19">
        <v>175</v>
      </c>
    </row>
    <row r="177" spans="1:15" x14ac:dyDescent="0.2">
      <c r="A177" s="29" t="s">
        <v>799</v>
      </c>
      <c r="B177" s="15" t="s">
        <v>125</v>
      </c>
      <c r="C177" s="15">
        <v>18210728</v>
      </c>
      <c r="D177" s="15">
        <v>20261231</v>
      </c>
      <c r="E177" t="s">
        <v>2518</v>
      </c>
      <c r="F177" s="27" t="s">
        <v>683</v>
      </c>
      <c r="H177" s="28" t="s">
        <v>610</v>
      </c>
      <c r="I177" s="15" t="s">
        <v>793</v>
      </c>
      <c r="J177" s="27" t="str">
        <f>IF( F177 = "Sovereign", "x", "" )</f>
        <v>x</v>
      </c>
      <c r="K177" s="15">
        <f>( $C177&lt;=$Q$1 )*( $D177 &gt; $Q$1 ) * 1</f>
        <v>1</v>
      </c>
      <c r="L177" s="19" t="s">
        <v>624</v>
      </c>
      <c r="M177" s="15" t="s">
        <v>800</v>
      </c>
      <c r="N177" s="15" t="s">
        <v>340</v>
      </c>
      <c r="O177" s="19">
        <v>176</v>
      </c>
    </row>
    <row r="178" spans="1:15" x14ac:dyDescent="0.2">
      <c r="A178" s="29" t="s">
        <v>793</v>
      </c>
      <c r="B178" s="15" t="s">
        <v>646</v>
      </c>
      <c r="C178" s="15">
        <v>15421120</v>
      </c>
      <c r="D178" s="15">
        <v>18210728</v>
      </c>
      <c r="E178" t="s">
        <v>2512</v>
      </c>
      <c r="F178" s="27" t="s">
        <v>684</v>
      </c>
      <c r="G178" s="27" t="s">
        <v>152</v>
      </c>
      <c r="H178" s="28" t="s">
        <v>610</v>
      </c>
      <c r="I178" s="15" t="s">
        <v>613</v>
      </c>
      <c r="J178" s="27" t="str">
        <f>IF( F178 = "Sovereign", "x", "" )</f>
        <v/>
      </c>
      <c r="K178" s="15">
        <f>( $C178&lt;=$Q$1 )*( $D178 &gt; $Q$1 ) * 1</f>
        <v>0</v>
      </c>
      <c r="L178" s="19" t="s">
        <v>624</v>
      </c>
      <c r="M178" s="15" t="s">
        <v>794</v>
      </c>
      <c r="N178" s="15" t="s">
        <v>340</v>
      </c>
      <c r="O178" s="19">
        <v>177</v>
      </c>
    </row>
    <row r="179" spans="1:15" x14ac:dyDescent="0.2">
      <c r="A179" s="29" t="s">
        <v>810</v>
      </c>
      <c r="B179" s="15" t="s">
        <v>46</v>
      </c>
      <c r="C179" s="15">
        <v>18300503</v>
      </c>
      <c r="D179" s="15">
        <v>20261231</v>
      </c>
      <c r="E179" t="s">
        <v>2519</v>
      </c>
      <c r="F179" s="27" t="s">
        <v>683</v>
      </c>
      <c r="H179" s="28" t="s">
        <v>610</v>
      </c>
      <c r="I179" s="15" t="s">
        <v>806</v>
      </c>
      <c r="J179" s="27" t="str">
        <f>IF( F179 = "Sovereign", "x", "" )</f>
        <v>x</v>
      </c>
      <c r="K179" s="15">
        <f>( $C179&lt;=$Q$1 )*( $D179 &gt; $Q$1 ) * 1</f>
        <v>1</v>
      </c>
      <c r="L179" s="19" t="s">
        <v>624</v>
      </c>
      <c r="M179" s="15" t="s">
        <v>809</v>
      </c>
      <c r="N179" s="15" t="s">
        <v>247</v>
      </c>
      <c r="O179" s="19">
        <v>178</v>
      </c>
    </row>
    <row r="180" spans="1:15" x14ac:dyDescent="0.2">
      <c r="A180" s="29" t="s">
        <v>806</v>
      </c>
      <c r="B180" s="15" t="s">
        <v>34</v>
      </c>
      <c r="C180" s="15">
        <v>18191217</v>
      </c>
      <c r="D180" s="15">
        <v>20261231</v>
      </c>
      <c r="E180" t="s">
        <v>2520</v>
      </c>
      <c r="F180" s="27" t="s">
        <v>683</v>
      </c>
      <c r="H180" s="28" t="s">
        <v>610</v>
      </c>
      <c r="I180" s="15" t="s">
        <v>2120</v>
      </c>
      <c r="J180" s="27" t="str">
        <f>IF( F180 = "Sovereign", "x", "" )</f>
        <v>x</v>
      </c>
      <c r="K180" s="15">
        <f>( $C180&lt;=$Q$1 )*( $D180 &gt; $Q$1 ) * 1</f>
        <v>1</v>
      </c>
      <c r="L180" s="19" t="s">
        <v>624</v>
      </c>
      <c r="M180" s="15" t="s">
        <v>805</v>
      </c>
      <c r="N180" s="15" t="s">
        <v>231</v>
      </c>
      <c r="O180" s="19">
        <v>179</v>
      </c>
    </row>
    <row r="181" spans="1:15" x14ac:dyDescent="0.2">
      <c r="A181" s="29" t="s">
        <v>2120</v>
      </c>
      <c r="B181" s="15" t="s">
        <v>650</v>
      </c>
      <c r="C181" s="15">
        <v>17170527</v>
      </c>
      <c r="D181" s="15">
        <v>18191217</v>
      </c>
      <c r="E181" t="s">
        <v>2512</v>
      </c>
      <c r="F181" s="27" t="s">
        <v>684</v>
      </c>
      <c r="G181" s="27" t="s">
        <v>152</v>
      </c>
      <c r="H181" s="28" t="s">
        <v>610</v>
      </c>
      <c r="I181" s="15" t="s">
        <v>793</v>
      </c>
      <c r="J181" s="27" t="str">
        <f>IF( F181 = "Sovereign", "x", "" )</f>
        <v/>
      </c>
      <c r="K181" s="15">
        <f>( $C181&lt;=$Q$1 )*( $D181 &gt; $Q$1 ) * 1</f>
        <v>0</v>
      </c>
      <c r="L181" s="19" t="s">
        <v>624</v>
      </c>
      <c r="M181" s="15" t="s">
        <v>804</v>
      </c>
      <c r="N181" s="15" t="s">
        <v>659</v>
      </c>
      <c r="O181" s="19">
        <v>180</v>
      </c>
    </row>
    <row r="182" spans="1:15" x14ac:dyDescent="0.2">
      <c r="A182" s="29" t="s">
        <v>811</v>
      </c>
      <c r="B182" s="15" t="s">
        <v>178</v>
      </c>
      <c r="C182" s="15">
        <v>18300113</v>
      </c>
      <c r="D182" s="15">
        <v>20261231</v>
      </c>
      <c r="E182" t="s">
        <v>2521</v>
      </c>
      <c r="F182" s="27" t="s">
        <v>683</v>
      </c>
      <c r="H182" s="28" t="s">
        <v>610</v>
      </c>
      <c r="I182" s="15" t="s">
        <v>806</v>
      </c>
      <c r="J182" s="27" t="str">
        <f>IF( F182 = "Sovereign", "x", "" )</f>
        <v>x</v>
      </c>
      <c r="K182" s="15">
        <f>( $C182&lt;=$Q$1 )*( $D182 &gt; $Q$1 ) * 1</f>
        <v>1</v>
      </c>
      <c r="L182" s="19" t="s">
        <v>624</v>
      </c>
      <c r="M182" s="15" t="s">
        <v>812</v>
      </c>
      <c r="N182" s="15" t="s">
        <v>394</v>
      </c>
      <c r="O182" s="19">
        <v>181</v>
      </c>
    </row>
    <row r="183" spans="1:15" x14ac:dyDescent="0.2">
      <c r="A183" s="29" t="s">
        <v>802</v>
      </c>
      <c r="B183" s="15" t="s">
        <v>64</v>
      </c>
      <c r="C183" s="15">
        <v>19660526</v>
      </c>
      <c r="D183" s="15">
        <v>20261231</v>
      </c>
      <c r="E183" t="s">
        <v>2522</v>
      </c>
      <c r="F183" s="27" t="s">
        <v>683</v>
      </c>
      <c r="H183" s="28" t="s">
        <v>610</v>
      </c>
      <c r="I183" s="15" t="s">
        <v>801</v>
      </c>
      <c r="J183" s="27" t="str">
        <f>IF( F183 = "Sovereign", "x", "" )</f>
        <v>x</v>
      </c>
      <c r="K183" s="15">
        <f>( $C183&lt;=$Q$1 )*( $D183 &gt; $Q$1 ) * 1</f>
        <v>1</v>
      </c>
      <c r="L183" s="19" t="s">
        <v>624</v>
      </c>
      <c r="M183" s="15" t="s">
        <v>803</v>
      </c>
      <c r="N183" s="15" t="s">
        <v>272</v>
      </c>
      <c r="O183" s="19">
        <v>182</v>
      </c>
    </row>
    <row r="184" spans="1:15" x14ac:dyDescent="0.2">
      <c r="A184" s="29" t="s">
        <v>801</v>
      </c>
      <c r="B184" s="15" t="s">
        <v>648</v>
      </c>
      <c r="C184" s="15">
        <v>18310721</v>
      </c>
      <c r="D184" s="15">
        <v>19660526</v>
      </c>
      <c r="E184" t="s">
        <v>2515</v>
      </c>
      <c r="F184" s="27" t="s">
        <v>684</v>
      </c>
      <c r="G184" s="27" t="s">
        <v>173</v>
      </c>
      <c r="H184" s="28" t="s">
        <v>610</v>
      </c>
      <c r="I184" s="15" t="s">
        <v>2356</v>
      </c>
      <c r="J184" s="27" t="str">
        <f>IF( F184 = "Sovereign", "x", "" )</f>
        <v/>
      </c>
      <c r="K184" s="15">
        <f>( $C184&lt;=$Q$1 )*( $D184 &gt; $Q$1 ) * 1</f>
        <v>0</v>
      </c>
      <c r="L184" s="19" t="s">
        <v>624</v>
      </c>
      <c r="M184" s="15" t="s">
        <v>648</v>
      </c>
      <c r="N184" s="15" t="s">
        <v>272</v>
      </c>
      <c r="O184" s="19">
        <v>183</v>
      </c>
    </row>
    <row r="185" spans="1:15" x14ac:dyDescent="0.2">
      <c r="A185" s="29" t="s">
        <v>787</v>
      </c>
      <c r="B185" s="15" t="s">
        <v>155</v>
      </c>
      <c r="C185" s="15">
        <v>19751125</v>
      </c>
      <c r="D185" s="15">
        <v>20261231</v>
      </c>
      <c r="E185" t="s">
        <v>2523</v>
      </c>
      <c r="F185" s="27" t="s">
        <v>683</v>
      </c>
      <c r="H185" s="28" t="s">
        <v>610</v>
      </c>
      <c r="I185" s="15" t="s">
        <v>786</v>
      </c>
      <c r="J185" s="27" t="str">
        <f>IF( F185 = "Sovereign", "x", "" )</f>
        <v>x</v>
      </c>
      <c r="K185" s="15">
        <f>( $C185&lt;=$Q$1 )*( $D185 &gt; $Q$1 ) * 1</f>
        <v>1</v>
      </c>
      <c r="L185" s="19" t="s">
        <v>624</v>
      </c>
      <c r="M185" s="15" t="s">
        <v>784</v>
      </c>
      <c r="N185" s="15" t="s">
        <v>368</v>
      </c>
      <c r="O185" s="19">
        <v>184</v>
      </c>
    </row>
    <row r="186" spans="1:15" x14ac:dyDescent="0.2">
      <c r="A186" s="29" t="s">
        <v>786</v>
      </c>
      <c r="B186" s="15" t="s">
        <v>155</v>
      </c>
      <c r="C186" s="15">
        <v>19541215</v>
      </c>
      <c r="D186" s="15">
        <v>19751125</v>
      </c>
      <c r="E186" t="s">
        <v>2524</v>
      </c>
      <c r="F186" s="27" t="s">
        <v>684</v>
      </c>
      <c r="G186" s="27" t="s">
        <v>112</v>
      </c>
      <c r="H186" s="28" t="s">
        <v>610</v>
      </c>
      <c r="I186" s="15" t="s">
        <v>2356</v>
      </c>
      <c r="J186" s="27" t="str">
        <f>IF( F186 = "Sovereign", "x", "" )</f>
        <v/>
      </c>
      <c r="K186" s="15">
        <f>( $C186&lt;=$Q$1 )*( $D186 &gt; $Q$1 ) * 1</f>
        <v>0</v>
      </c>
      <c r="L186" s="19" t="s">
        <v>624</v>
      </c>
      <c r="M186" s="15" t="s">
        <v>785</v>
      </c>
      <c r="N186" s="15" t="s">
        <v>368</v>
      </c>
      <c r="O186" s="19">
        <v>185</v>
      </c>
    </row>
    <row r="187" spans="1:15" x14ac:dyDescent="0.2">
      <c r="A187" s="29" t="s">
        <v>2356</v>
      </c>
      <c r="B187" s="15" t="s">
        <v>2357</v>
      </c>
      <c r="C187" s="15">
        <v>16670731</v>
      </c>
      <c r="D187" s="15">
        <v>19541215</v>
      </c>
      <c r="E187" t="s">
        <v>2525</v>
      </c>
      <c r="F187" s="27" t="s">
        <v>684</v>
      </c>
      <c r="G187" s="27" t="s">
        <v>112</v>
      </c>
      <c r="H187" s="28" t="s">
        <v>610</v>
      </c>
      <c r="I187" s="15" t="s">
        <v>613</v>
      </c>
      <c r="J187" s="27" t="str">
        <f>IF( F187 = "Sovereign", "x", "" )</f>
        <v/>
      </c>
      <c r="K187" s="15">
        <f>( $C187&lt;=$Q$1 )*( $D187 &gt; $Q$1 ) * 1</f>
        <v>0</v>
      </c>
      <c r="L187" s="19" t="s">
        <v>624</v>
      </c>
      <c r="M187" s="15" t="s">
        <v>647</v>
      </c>
      <c r="N187" s="15" t="s">
        <v>368</v>
      </c>
      <c r="O187" s="19">
        <v>186</v>
      </c>
    </row>
    <row r="188" spans="1:15" x14ac:dyDescent="0.2">
      <c r="A188" s="29" t="s">
        <v>2359</v>
      </c>
      <c r="B188" s="15" t="s">
        <v>847</v>
      </c>
      <c r="C188" s="15">
        <v>16430926</v>
      </c>
      <c r="D188" s="15">
        <v>20261231</v>
      </c>
      <c r="E188" t="s">
        <v>2516</v>
      </c>
      <c r="F188" s="27" t="s">
        <v>684</v>
      </c>
      <c r="G188" s="27" t="s">
        <v>184</v>
      </c>
      <c r="H188" s="15" t="s">
        <v>610</v>
      </c>
      <c r="I188" s="15" t="s">
        <v>613</v>
      </c>
      <c r="J188" s="27" t="str">
        <f>IF( F188 = "Sovereign", "x", "" )</f>
        <v/>
      </c>
      <c r="K188" s="15">
        <f>( $C188&lt;=$Q$1 )*( $D188 &gt; $Q$1 ) * 1</f>
        <v>1</v>
      </c>
      <c r="L188" s="19" t="s">
        <v>624</v>
      </c>
      <c r="M188" s="15" t="s">
        <v>850</v>
      </c>
      <c r="N188" s="15" t="s">
        <v>848</v>
      </c>
      <c r="O188" s="19">
        <v>187</v>
      </c>
    </row>
    <row r="189" spans="1:15" x14ac:dyDescent="0.2">
      <c r="A189" s="29" t="s">
        <v>668</v>
      </c>
      <c r="B189" s="15" t="s">
        <v>144</v>
      </c>
      <c r="C189" s="15">
        <v>19650809</v>
      </c>
      <c r="D189" s="15">
        <v>20261231</v>
      </c>
      <c r="F189" s="27" t="s">
        <v>683</v>
      </c>
      <c r="H189" s="28" t="s">
        <v>605</v>
      </c>
      <c r="I189" s="15" t="s">
        <v>669</v>
      </c>
      <c r="J189" s="27" t="str">
        <f>IF( F189 = "Sovereign", "x", "" )</f>
        <v>x</v>
      </c>
      <c r="K189" s="15">
        <f>( $C189&lt;=$Q$1 )*( $D189 &gt; $Q$1 ) * 1</f>
        <v>1</v>
      </c>
      <c r="L189" s="19"/>
      <c r="M189" s="15" t="s">
        <v>667</v>
      </c>
      <c r="N189" s="15" t="s">
        <v>144</v>
      </c>
      <c r="O189" s="19">
        <v>188</v>
      </c>
    </row>
    <row r="190" spans="1:15" x14ac:dyDescent="0.2">
      <c r="A190" s="29" t="s">
        <v>669</v>
      </c>
      <c r="B190" s="17" t="s">
        <v>662</v>
      </c>
      <c r="C190" s="15">
        <v>19630831</v>
      </c>
      <c r="D190" s="15">
        <v>19650809</v>
      </c>
      <c r="F190" s="20" t="s">
        <v>684</v>
      </c>
      <c r="G190" s="20" t="s">
        <v>95</v>
      </c>
      <c r="H190" s="28" t="s">
        <v>605</v>
      </c>
      <c r="I190" s="15" t="s">
        <v>671</v>
      </c>
      <c r="J190" s="27" t="str">
        <f>IF( F190 = "Sovereign", "x", "" )</f>
        <v/>
      </c>
      <c r="K190" s="15">
        <f>( $C190&lt;=$Q$1 )*( $D190 &gt; $Q$1 ) * 1</f>
        <v>0</v>
      </c>
      <c r="L190" s="19"/>
      <c r="M190" s="15" t="s">
        <v>662</v>
      </c>
      <c r="N190" s="15" t="s">
        <v>144</v>
      </c>
      <c r="O190" s="19">
        <v>189</v>
      </c>
    </row>
    <row r="191" spans="1:15" x14ac:dyDescent="0.2">
      <c r="A191" s="29" t="s">
        <v>670</v>
      </c>
      <c r="B191" s="17" t="s">
        <v>663</v>
      </c>
      <c r="C191" s="15">
        <v>19460401</v>
      </c>
      <c r="D191" s="15">
        <v>19630831</v>
      </c>
      <c r="E191" s="15" t="s">
        <v>2404</v>
      </c>
      <c r="F191" s="20" t="s">
        <v>684</v>
      </c>
      <c r="G191" s="20" t="s">
        <v>173</v>
      </c>
      <c r="H191" s="28" t="s">
        <v>605</v>
      </c>
      <c r="I191" s="15" t="s">
        <v>672</v>
      </c>
      <c r="J191" s="27" t="str">
        <f>IF( F191 = "Sovereign", "x", "" )</f>
        <v/>
      </c>
      <c r="K191" s="15">
        <f>( $C191&lt;=$Q$1 )*( $D191 &gt; $Q$1 ) * 1</f>
        <v>0</v>
      </c>
      <c r="L191" s="19"/>
      <c r="M191" s="15" t="s">
        <v>663</v>
      </c>
      <c r="N191" s="15" t="s">
        <v>144</v>
      </c>
      <c r="O191" s="19">
        <v>190</v>
      </c>
    </row>
    <row r="192" spans="1:15" x14ac:dyDescent="0.2">
      <c r="A192" s="29" t="s">
        <v>1493</v>
      </c>
      <c r="B192" s="17" t="s">
        <v>664</v>
      </c>
      <c r="C192" s="15">
        <v>18260101</v>
      </c>
      <c r="D192" s="15">
        <v>19460401</v>
      </c>
      <c r="E192" s="15" t="s">
        <v>2404</v>
      </c>
      <c r="F192" s="20" t="s">
        <v>684</v>
      </c>
      <c r="G192" s="20" t="s">
        <v>173</v>
      </c>
      <c r="H192" s="28" t="s">
        <v>605</v>
      </c>
      <c r="I192" s="15" t="s">
        <v>613</v>
      </c>
      <c r="J192" s="27" t="str">
        <f>IF( F192 = "Sovereign", "x", "" )</f>
        <v/>
      </c>
      <c r="K192" s="15">
        <f>( $C192&lt;=$Q$1 )*( $D192 &gt; $Q$1 ) * 1</f>
        <v>0</v>
      </c>
      <c r="L192" s="19"/>
      <c r="M192" s="15" t="s">
        <v>664</v>
      </c>
      <c r="N192" s="15" t="s">
        <v>665</v>
      </c>
      <c r="O192" s="19">
        <v>191</v>
      </c>
    </row>
    <row r="193" spans="1:15" x14ac:dyDescent="0.2">
      <c r="A193" s="29" t="s">
        <v>1501</v>
      </c>
      <c r="B193" s="15" t="s">
        <v>167</v>
      </c>
      <c r="C193" s="15">
        <v>19221101</v>
      </c>
      <c r="D193" s="15">
        <v>20261231</v>
      </c>
      <c r="F193" s="27" t="s">
        <v>683</v>
      </c>
      <c r="H193" s="28" t="s">
        <v>605</v>
      </c>
      <c r="I193" s="15" t="s">
        <v>1502</v>
      </c>
      <c r="J193" s="27" t="str">
        <f>IF( F193 = "Sovereign", "x", "" )</f>
        <v>x</v>
      </c>
      <c r="K193" s="15">
        <f>( $C193&lt;=$Q$1 )*( $D193 &gt; $Q$1 ) * 1</f>
        <v>1</v>
      </c>
      <c r="L193" s="19"/>
      <c r="N193" s="15" t="s">
        <v>382</v>
      </c>
      <c r="O193" s="19">
        <v>192</v>
      </c>
    </row>
    <row r="194" spans="1:15" x14ac:dyDescent="0.2">
      <c r="A194" s="29" t="s">
        <v>1502</v>
      </c>
      <c r="B194" s="15" t="s">
        <v>681</v>
      </c>
      <c r="C194" s="15">
        <v>14530529</v>
      </c>
      <c r="D194" s="15">
        <v>19221101</v>
      </c>
      <c r="F194" s="27" t="s">
        <v>683</v>
      </c>
      <c r="H194" s="28" t="s">
        <v>605</v>
      </c>
      <c r="I194" s="15" t="s">
        <v>613</v>
      </c>
      <c r="J194" s="27" t="str">
        <f>IF( F194 = "Sovereign", "x", "" )</f>
        <v>x</v>
      </c>
      <c r="K194" s="15">
        <f>( $C194&lt;=$Q$1 )*( $D194 &gt; $Q$1 ) * 1</f>
        <v>0</v>
      </c>
      <c r="L194" s="19"/>
      <c r="M194" s="19"/>
      <c r="O194" s="19">
        <v>193</v>
      </c>
    </row>
    <row r="195" spans="1:15" x14ac:dyDescent="0.2">
      <c r="A195" s="29" t="s">
        <v>964</v>
      </c>
      <c r="B195" s="15" t="s">
        <v>238</v>
      </c>
      <c r="C195" s="15">
        <v>19600816</v>
      </c>
      <c r="D195" s="15">
        <v>20261231</v>
      </c>
      <c r="F195" s="27" t="s">
        <v>683</v>
      </c>
      <c r="H195" s="28" t="s">
        <v>605</v>
      </c>
      <c r="I195" s="15" t="s">
        <v>1508</v>
      </c>
      <c r="J195" s="27" t="str">
        <f>IF( F195 = "Sovereign", "x", "" )</f>
        <v>x</v>
      </c>
      <c r="K195" s="15">
        <f>( $C195&lt;=$Q$1 )*( $D195 &gt; $Q$1 ) * 1</f>
        <v>1</v>
      </c>
      <c r="L195" s="19"/>
      <c r="N195" s="15" t="s">
        <v>239</v>
      </c>
      <c r="O195" s="19">
        <v>194</v>
      </c>
    </row>
    <row r="196" spans="1:15" x14ac:dyDescent="0.2">
      <c r="A196" s="29" t="s">
        <v>1508</v>
      </c>
      <c r="B196" s="15" t="s">
        <v>1507</v>
      </c>
      <c r="C196" s="15">
        <v>18780604</v>
      </c>
      <c r="D196" s="15">
        <v>19600816</v>
      </c>
      <c r="E196" s="15" t="s">
        <v>2404</v>
      </c>
      <c r="F196" s="27" t="s">
        <v>684</v>
      </c>
      <c r="G196" s="27" t="s">
        <v>173</v>
      </c>
      <c r="H196" s="28" t="s">
        <v>605</v>
      </c>
      <c r="I196" s="15" t="s">
        <v>1509</v>
      </c>
      <c r="J196" s="27" t="str">
        <f>IF( F196 = "Sovereign", "x", "" )</f>
        <v/>
      </c>
      <c r="K196" s="15">
        <f>( $C196&lt;=$Q$1 )*( $D196 &gt; $Q$1 ) * 1</f>
        <v>0</v>
      </c>
      <c r="L196" s="19"/>
      <c r="M196" s="19"/>
      <c r="O196" s="19">
        <v>195</v>
      </c>
    </row>
    <row r="197" spans="1:15" x14ac:dyDescent="0.2">
      <c r="A197" s="29" t="s">
        <v>1509</v>
      </c>
      <c r="B197" s="15" t="s">
        <v>1510</v>
      </c>
      <c r="C197" s="15">
        <v>15710801</v>
      </c>
      <c r="D197" s="15">
        <v>18780604</v>
      </c>
      <c r="F197" s="27" t="s">
        <v>684</v>
      </c>
      <c r="G197" s="27" t="s">
        <v>681</v>
      </c>
      <c r="H197" s="28" t="s">
        <v>605</v>
      </c>
      <c r="I197" s="15" t="s">
        <v>613</v>
      </c>
      <c r="J197" s="27" t="str">
        <f>IF( F197 = "Sovereign", "x", "" )</f>
        <v/>
      </c>
      <c r="K197" s="15">
        <f>( $C197&lt;=$Q$1 )*( $D197 &gt; $Q$1 ) * 1</f>
        <v>0</v>
      </c>
      <c r="L197" s="19"/>
      <c r="M197" s="19"/>
      <c r="O197" s="19">
        <v>196</v>
      </c>
    </row>
    <row r="198" spans="1:15" x14ac:dyDescent="0.2">
      <c r="A198" s="29" t="s">
        <v>1513</v>
      </c>
      <c r="B198" s="15" t="s">
        <v>158</v>
      </c>
      <c r="C198" s="15">
        <v>19610929</v>
      </c>
      <c r="D198" s="15">
        <v>20261231</v>
      </c>
      <c r="F198" s="27" t="s">
        <v>683</v>
      </c>
      <c r="H198" s="28" t="s">
        <v>605</v>
      </c>
      <c r="I198" s="15" t="s">
        <v>1515</v>
      </c>
      <c r="J198" s="27" t="str">
        <f>IF( F198 = "Sovereign", "x", "" )</f>
        <v>x</v>
      </c>
      <c r="K198" s="15">
        <f>( $C198&lt;=$Q$1 )*( $D198 &gt; $Q$1 ) * 1</f>
        <v>1</v>
      </c>
      <c r="L198" s="19"/>
      <c r="N198" s="15" t="s">
        <v>371</v>
      </c>
      <c r="O198" s="19">
        <v>197</v>
      </c>
    </row>
    <row r="199" spans="1:15" x14ac:dyDescent="0.2">
      <c r="A199" s="29" t="s">
        <v>1515</v>
      </c>
      <c r="B199" s="15" t="s">
        <v>158</v>
      </c>
      <c r="C199" s="15">
        <v>19460417</v>
      </c>
      <c r="D199" s="15">
        <v>19580222</v>
      </c>
      <c r="F199" s="27" t="s">
        <v>683</v>
      </c>
      <c r="H199" s="28" t="s">
        <v>605</v>
      </c>
      <c r="I199" s="15" t="s">
        <v>1514</v>
      </c>
      <c r="J199" s="27" t="str">
        <f>IF( F199 = "Sovereign", "x", "" )</f>
        <v>x</v>
      </c>
      <c r="K199" s="15">
        <f>( $C199&lt;=$Q$1 )*( $D199 &gt; $Q$1 ) * 1</f>
        <v>0</v>
      </c>
      <c r="L199" s="19"/>
      <c r="M199" s="19"/>
      <c r="O199" s="19">
        <v>198</v>
      </c>
    </row>
    <row r="200" spans="1:15" x14ac:dyDescent="0.2">
      <c r="A200" s="29" t="s">
        <v>1514</v>
      </c>
      <c r="B200" s="15" t="s">
        <v>158</v>
      </c>
      <c r="C200" s="15">
        <v>19230929</v>
      </c>
      <c r="D200" s="15">
        <v>19460417</v>
      </c>
      <c r="E200" s="15" t="s">
        <v>2408</v>
      </c>
      <c r="F200" s="27" t="s">
        <v>684</v>
      </c>
      <c r="G200" s="27" t="s">
        <v>184</v>
      </c>
      <c r="H200" s="28" t="s">
        <v>605</v>
      </c>
      <c r="I200" s="15" t="s">
        <v>1502</v>
      </c>
      <c r="J200" s="27" t="str">
        <f>IF( F200 = "Sovereign", "x", "" )</f>
        <v/>
      </c>
      <c r="K200" s="15">
        <f>( $C200&lt;=$Q$1 )*( $D200 &gt; $Q$1 ) * 1</f>
        <v>0</v>
      </c>
      <c r="L200" s="19"/>
      <c r="M200" s="19"/>
      <c r="O200" s="19">
        <v>199</v>
      </c>
    </row>
    <row r="201" spans="1:15" x14ac:dyDescent="0.2">
      <c r="A201" s="29" t="s">
        <v>960</v>
      </c>
      <c r="B201" s="15" t="s">
        <v>86</v>
      </c>
      <c r="C201" s="15">
        <v>19431122</v>
      </c>
      <c r="D201" s="15">
        <v>20261231</v>
      </c>
      <c r="F201" s="27" t="s">
        <v>683</v>
      </c>
      <c r="H201" s="28" t="s">
        <v>605</v>
      </c>
      <c r="I201" s="15" t="s">
        <v>1514</v>
      </c>
      <c r="J201" s="27" t="str">
        <f>IF( F201 = "Sovereign", "x", "" )</f>
        <v>x</v>
      </c>
      <c r="K201" s="15">
        <f>( $C201&lt;=$Q$1 )*( $D201 &gt; $Q$1 ) * 1</f>
        <v>1</v>
      </c>
      <c r="L201" s="19"/>
      <c r="N201" s="15" t="s">
        <v>301</v>
      </c>
      <c r="O201" s="19">
        <v>200</v>
      </c>
    </row>
    <row r="202" spans="1:15" x14ac:dyDescent="0.2">
      <c r="A202" s="29" t="s">
        <v>954</v>
      </c>
      <c r="B202" s="15" t="s">
        <v>193</v>
      </c>
      <c r="C202" s="15">
        <v>19480514</v>
      </c>
      <c r="D202" s="15">
        <v>20261231</v>
      </c>
      <c r="F202" s="27" t="s">
        <v>683</v>
      </c>
      <c r="H202" s="28" t="s">
        <v>605</v>
      </c>
      <c r="I202" s="15" t="s">
        <v>1528</v>
      </c>
      <c r="J202" s="27" t="str">
        <f>IF( F202 = "Sovereign", "x", "" )</f>
        <v>x</v>
      </c>
      <c r="K202" s="15">
        <f>( $C202&lt;=$Q$1 )*( $D202 &gt; $Q$1 ) * 1</f>
        <v>1</v>
      </c>
      <c r="L202" s="19"/>
      <c r="N202" s="15" t="s">
        <v>287</v>
      </c>
      <c r="O202" s="19">
        <v>201</v>
      </c>
    </row>
    <row r="203" spans="1:15" x14ac:dyDescent="0.2">
      <c r="A203" s="29" t="s">
        <v>1528</v>
      </c>
      <c r="B203" s="15" t="s">
        <v>1529</v>
      </c>
      <c r="C203" s="15">
        <v>19200425</v>
      </c>
      <c r="D203" s="15">
        <v>19480514</v>
      </c>
      <c r="E203" s="15" t="s">
        <v>2404</v>
      </c>
      <c r="F203" s="27" t="s">
        <v>684</v>
      </c>
      <c r="G203" s="27" t="s">
        <v>173</v>
      </c>
      <c r="H203" s="28" t="s">
        <v>605</v>
      </c>
      <c r="I203" s="15" t="s">
        <v>1530</v>
      </c>
      <c r="J203" s="27" t="str">
        <f>IF( F203 = "Sovereign", "x", "" )</f>
        <v/>
      </c>
      <c r="K203" s="15">
        <f>( $C203&lt;=$Q$1 )*( $D203 &gt; $Q$1 ) * 1</f>
        <v>0</v>
      </c>
      <c r="L203" s="19"/>
      <c r="M203" s="19"/>
      <c r="O203" s="19">
        <v>202</v>
      </c>
    </row>
    <row r="204" spans="1:15" x14ac:dyDescent="0.2">
      <c r="A204" s="29" t="s">
        <v>1530</v>
      </c>
      <c r="B204" s="15" t="s">
        <v>287</v>
      </c>
      <c r="C204" s="15">
        <v>15170101</v>
      </c>
      <c r="D204" s="15">
        <v>19200425</v>
      </c>
      <c r="F204" s="27" t="s">
        <v>684</v>
      </c>
      <c r="G204" s="27" t="s">
        <v>681</v>
      </c>
      <c r="H204" s="28" t="s">
        <v>605</v>
      </c>
      <c r="I204" s="15" t="s">
        <v>613</v>
      </c>
      <c r="J204" s="27" t="str">
        <f>IF( F204 = "Sovereign", "x", "" )</f>
        <v/>
      </c>
      <c r="K204" s="15">
        <f>( $C204&lt;=$Q$1 )*( $D204 &gt; $Q$1 ) * 1</f>
        <v>0</v>
      </c>
      <c r="L204" s="19"/>
      <c r="M204" s="19"/>
      <c r="O204" s="19">
        <v>203</v>
      </c>
    </row>
    <row r="205" spans="1:15" x14ac:dyDescent="0.2">
      <c r="A205" s="29" t="s">
        <v>940</v>
      </c>
      <c r="B205" s="15" t="s">
        <v>77</v>
      </c>
      <c r="C205" s="15">
        <v>19460525</v>
      </c>
      <c r="D205" s="15">
        <v>20261231</v>
      </c>
      <c r="F205" s="27" t="s">
        <v>683</v>
      </c>
      <c r="H205" s="28" t="s">
        <v>605</v>
      </c>
      <c r="I205" s="15" t="s">
        <v>1535</v>
      </c>
      <c r="J205" s="27" t="str">
        <f>IF( F205 = "Sovereign", "x", "" )</f>
        <v>x</v>
      </c>
      <c r="K205" s="15">
        <f>( $C205&lt;=$Q$1 )*( $D205 &gt; $Q$1 ) * 1</f>
        <v>1</v>
      </c>
      <c r="L205" s="19"/>
      <c r="N205" s="15" t="s">
        <v>291</v>
      </c>
      <c r="O205" s="19">
        <v>204</v>
      </c>
    </row>
    <row r="206" spans="1:15" x14ac:dyDescent="0.2">
      <c r="A206" s="29" t="s">
        <v>1535</v>
      </c>
      <c r="B206" s="15" t="s">
        <v>1536</v>
      </c>
      <c r="C206" s="15">
        <v>19210411</v>
      </c>
      <c r="D206" s="15">
        <v>19460525</v>
      </c>
      <c r="E206" s="15" t="s">
        <v>2404</v>
      </c>
      <c r="F206" s="27" t="s">
        <v>684</v>
      </c>
      <c r="G206" s="27" t="s">
        <v>173</v>
      </c>
      <c r="H206" s="28" t="s">
        <v>605</v>
      </c>
      <c r="I206" s="15" t="s">
        <v>1502</v>
      </c>
      <c r="J206" s="27" t="str">
        <f>IF( F206 = "Sovereign", "x", "" )</f>
        <v/>
      </c>
      <c r="K206" s="15">
        <f>( $C206&lt;=$Q$1 )*( $D206 &gt; $Q$1 ) * 1</f>
        <v>0</v>
      </c>
      <c r="L206" s="19"/>
      <c r="M206" s="19"/>
      <c r="O206" s="19">
        <v>205</v>
      </c>
    </row>
    <row r="207" spans="1:15" x14ac:dyDescent="0.2">
      <c r="A207" s="29" t="s">
        <v>2364</v>
      </c>
      <c r="B207" s="15" t="s">
        <v>140</v>
      </c>
      <c r="C207" s="15">
        <v>17440101</v>
      </c>
      <c r="D207" s="15">
        <v>20261231</v>
      </c>
      <c r="F207" s="27" t="s">
        <v>683</v>
      </c>
      <c r="H207" s="28" t="s">
        <v>605</v>
      </c>
      <c r="I207" s="15" t="s">
        <v>613</v>
      </c>
      <c r="J207" s="27" t="str">
        <f>IF( F207 = "Sovereign", "x", "" )</f>
        <v>x</v>
      </c>
      <c r="K207" s="15">
        <f>( $C207&lt;=$Q$1 )*( $D207 &gt; $Q$1 ) * 1</f>
        <v>1</v>
      </c>
      <c r="L207" s="19"/>
      <c r="M207" s="19"/>
      <c r="O207" s="19">
        <v>206</v>
      </c>
    </row>
    <row r="208" spans="1:15" x14ac:dyDescent="0.2">
      <c r="A208" s="29" t="s">
        <v>961</v>
      </c>
      <c r="B208" s="15" t="s">
        <v>180</v>
      </c>
      <c r="C208" s="15">
        <v>19900522</v>
      </c>
      <c r="D208" s="15">
        <v>20261231</v>
      </c>
      <c r="F208" s="27" t="s">
        <v>683</v>
      </c>
      <c r="H208" s="28" t="s">
        <v>605</v>
      </c>
      <c r="I208" s="15" t="s">
        <v>2391</v>
      </c>
      <c r="J208" s="27" t="str">
        <f>IF( F208 = "Sovereign", "x", "" )</f>
        <v>x</v>
      </c>
      <c r="K208" s="15">
        <f>( $C208&lt;=$Q$1 )*( $D208 &gt; $Q$1 ) * 1</f>
        <v>1</v>
      </c>
      <c r="L208" s="19"/>
      <c r="N208" s="15" t="s">
        <v>396</v>
      </c>
      <c r="O208" s="19">
        <v>207</v>
      </c>
    </row>
    <row r="209" spans="1:15" x14ac:dyDescent="0.2">
      <c r="A209" s="29" t="s">
        <v>2367</v>
      </c>
      <c r="B209" s="15" t="s">
        <v>1555</v>
      </c>
      <c r="C209" s="15">
        <v>19630118</v>
      </c>
      <c r="D209" s="15">
        <v>19900522</v>
      </c>
      <c r="F209" s="27" t="s">
        <v>683</v>
      </c>
      <c r="H209" s="28" t="s">
        <v>605</v>
      </c>
      <c r="I209" s="15" t="s">
        <v>1553</v>
      </c>
      <c r="J209" s="27" t="str">
        <f>IF( F209 = "Sovereign", "x", "" )</f>
        <v>x</v>
      </c>
      <c r="K209" s="15">
        <f>( $C209&lt;=$Q$1 )*( $D209 &gt; $Q$1 ) * 1</f>
        <v>0</v>
      </c>
      <c r="L209" s="19"/>
      <c r="M209" s="19"/>
      <c r="O209" s="19">
        <v>208</v>
      </c>
    </row>
    <row r="210" spans="1:15" x14ac:dyDescent="0.2">
      <c r="A210" s="29" t="s">
        <v>1553</v>
      </c>
      <c r="B210" s="15" t="s">
        <v>1554</v>
      </c>
      <c r="C210" s="15">
        <v>18720101</v>
      </c>
      <c r="D210" s="15">
        <v>19630118</v>
      </c>
      <c r="E210" s="15" t="s">
        <v>2404</v>
      </c>
      <c r="F210" s="27" t="s">
        <v>684</v>
      </c>
      <c r="G210" s="27" t="s">
        <v>173</v>
      </c>
      <c r="H210" s="28" t="s">
        <v>605</v>
      </c>
      <c r="I210" s="15" t="s">
        <v>1547</v>
      </c>
      <c r="J210" s="27" t="str">
        <f>IF( F210 = "Sovereign", "x", "" )</f>
        <v/>
      </c>
      <c r="K210" s="15">
        <f>( $C210&lt;=$Q$1 )*( $D210 &gt; $Q$1 ) * 1</f>
        <v>0</v>
      </c>
      <c r="L210" s="19"/>
      <c r="M210" s="19"/>
      <c r="O210" s="19">
        <v>209</v>
      </c>
    </row>
    <row r="211" spans="1:15" x14ac:dyDescent="0.2">
      <c r="A211" s="29" t="s">
        <v>1550</v>
      </c>
      <c r="B211" s="15" t="s">
        <v>1551</v>
      </c>
      <c r="C211" s="15">
        <v>19181030</v>
      </c>
      <c r="D211" s="15">
        <v>19900522</v>
      </c>
      <c r="F211" s="27" t="s">
        <v>683</v>
      </c>
      <c r="H211" s="28" t="s">
        <v>605</v>
      </c>
      <c r="I211" s="15" t="s">
        <v>1549</v>
      </c>
      <c r="J211" s="27" t="str">
        <f>IF( F211 = "Sovereign", "x", "" )</f>
        <v>x</v>
      </c>
      <c r="K211" s="15">
        <f>( $C211&lt;=$Q$1 )*( $D211 &gt; $Q$1 ) * 1</f>
        <v>0</v>
      </c>
      <c r="L211" s="19"/>
      <c r="M211" s="19"/>
      <c r="O211" s="19">
        <v>210</v>
      </c>
    </row>
    <row r="212" spans="1:15" x14ac:dyDescent="0.2">
      <c r="A212" s="29" t="s">
        <v>1549</v>
      </c>
      <c r="B212" s="15" t="s">
        <v>1552</v>
      </c>
      <c r="C212" s="15">
        <v>18720101</v>
      </c>
      <c r="D212" s="15">
        <v>19181030</v>
      </c>
      <c r="F212" s="27" t="s">
        <v>684</v>
      </c>
      <c r="G212" s="27" t="s">
        <v>681</v>
      </c>
      <c r="H212" s="28" t="s">
        <v>605</v>
      </c>
      <c r="I212" s="15" t="s">
        <v>1547</v>
      </c>
      <c r="J212" s="27" t="str">
        <f>IF( F212 = "Sovereign", "x", "" )</f>
        <v/>
      </c>
      <c r="K212" s="15">
        <f>( $C212&lt;=$Q$1 )*( $D212 &gt; $Q$1 ) * 1</f>
        <v>0</v>
      </c>
      <c r="L212" s="19"/>
      <c r="M212" s="19"/>
      <c r="O212" s="19">
        <v>211</v>
      </c>
    </row>
    <row r="213" spans="1:15" x14ac:dyDescent="0.2">
      <c r="A213" s="29" t="s">
        <v>1547</v>
      </c>
      <c r="B213" s="15" t="s">
        <v>1548</v>
      </c>
      <c r="C213" s="15">
        <v>15970101</v>
      </c>
      <c r="D213" s="15">
        <v>18720101</v>
      </c>
      <c r="F213" s="27" t="s">
        <v>683</v>
      </c>
      <c r="H213" s="28" t="s">
        <v>605</v>
      </c>
      <c r="I213" s="15" t="s">
        <v>945</v>
      </c>
      <c r="J213" s="27" t="str">
        <f>IF( F213 = "Sovereign", "x", "" )</f>
        <v>x</v>
      </c>
      <c r="K213" s="15">
        <f>( $C213&lt;=$Q$1 )*( $D213 &gt; $Q$1 ) * 1</f>
        <v>0</v>
      </c>
      <c r="L213" s="19"/>
      <c r="M213" s="19"/>
      <c r="O213" s="19">
        <v>212</v>
      </c>
    </row>
    <row r="214" spans="1:15" x14ac:dyDescent="0.2">
      <c r="A214" s="29" t="s">
        <v>945</v>
      </c>
      <c r="B214" s="15" t="s">
        <v>119</v>
      </c>
      <c r="C214" s="15">
        <v>19661106</v>
      </c>
      <c r="D214" s="15">
        <v>20261231</v>
      </c>
      <c r="F214" s="27" t="s">
        <v>683</v>
      </c>
      <c r="H214" s="28" t="s">
        <v>605</v>
      </c>
      <c r="I214" s="15" t="s">
        <v>1571</v>
      </c>
      <c r="J214" s="27" t="str">
        <f>IF( F214 = "Sovereign", "x", "" )</f>
        <v>x</v>
      </c>
      <c r="K214" s="15">
        <f>( $C214&lt;=$Q$1 )*( $D214 &gt; $Q$1 ) * 1</f>
        <v>1</v>
      </c>
      <c r="L214" s="19"/>
      <c r="N214" s="15" t="s">
        <v>334</v>
      </c>
      <c r="O214" s="19">
        <v>213</v>
      </c>
    </row>
    <row r="215" spans="1:15" x14ac:dyDescent="0.2">
      <c r="A215" s="29" t="s">
        <v>1571</v>
      </c>
      <c r="B215" s="15" t="s">
        <v>1570</v>
      </c>
      <c r="C215" s="15">
        <v>18560101</v>
      </c>
      <c r="D215" s="15">
        <v>19661106</v>
      </c>
      <c r="F215" s="27" t="s">
        <v>683</v>
      </c>
      <c r="H215" s="28" t="s">
        <v>605</v>
      </c>
      <c r="I215" s="15" t="s">
        <v>1568</v>
      </c>
      <c r="J215" s="27" t="str">
        <f>IF( F215 = "Sovereign", "x", "" )</f>
        <v>x</v>
      </c>
      <c r="K215" s="15">
        <f>( $C215&lt;=$Q$1 )*( $D215 &gt; $Q$1 ) * 1</f>
        <v>0</v>
      </c>
      <c r="L215" s="19"/>
      <c r="M215" s="19"/>
      <c r="O215" s="19">
        <v>214</v>
      </c>
    </row>
    <row r="216" spans="1:15" x14ac:dyDescent="0.2">
      <c r="A216" s="29" t="s">
        <v>1568</v>
      </c>
      <c r="B216" s="15" t="s">
        <v>1569</v>
      </c>
      <c r="C216" s="15">
        <v>16960101</v>
      </c>
      <c r="D216" s="15">
        <v>18560101</v>
      </c>
      <c r="F216" s="27" t="s">
        <v>683</v>
      </c>
      <c r="H216" s="28" t="s">
        <v>605</v>
      </c>
      <c r="I216" s="15" t="s">
        <v>613</v>
      </c>
      <c r="J216" s="27" t="str">
        <f>IF( F216 = "Sovereign", "x", "" )</f>
        <v>x</v>
      </c>
      <c r="K216" s="15">
        <f>( $C216&lt;=$Q$1 )*( $D216 &gt; $Q$1 ) * 1</f>
        <v>0</v>
      </c>
      <c r="L216" s="19"/>
      <c r="M216" s="19"/>
      <c r="O216" s="19">
        <v>215</v>
      </c>
    </row>
    <row r="217" spans="1:15" x14ac:dyDescent="0.2">
      <c r="A217" s="29" t="s">
        <v>947</v>
      </c>
      <c r="B217" s="15" t="s">
        <v>172</v>
      </c>
      <c r="C217" s="15">
        <v>19711202</v>
      </c>
      <c r="D217" s="15">
        <v>20261231</v>
      </c>
      <c r="F217" s="27" t="s">
        <v>683</v>
      </c>
      <c r="H217" s="28" t="s">
        <v>605</v>
      </c>
      <c r="I217" s="15" t="s">
        <v>1577</v>
      </c>
      <c r="J217" s="27" t="str">
        <f>IF( F217 = "Sovereign", "x", "" )</f>
        <v>x</v>
      </c>
      <c r="K217" s="15">
        <f>( $C217&lt;=$Q$1 )*( $D217 &gt; $Q$1 ) * 1</f>
        <v>1</v>
      </c>
      <c r="L217" s="19"/>
      <c r="N217" s="15" t="s">
        <v>387</v>
      </c>
      <c r="O217" s="19">
        <v>216</v>
      </c>
    </row>
    <row r="218" spans="1:15" x14ac:dyDescent="0.2">
      <c r="A218" s="29" t="s">
        <v>1577</v>
      </c>
      <c r="B218" s="15" t="s">
        <v>1578</v>
      </c>
      <c r="C218" s="15">
        <v>18200108</v>
      </c>
      <c r="D218" s="15">
        <v>19711202</v>
      </c>
      <c r="E218" s="15" t="s">
        <v>2404</v>
      </c>
      <c r="F218" s="27" t="s">
        <v>684</v>
      </c>
      <c r="G218" s="27" t="s">
        <v>173</v>
      </c>
      <c r="H218" s="28" t="s">
        <v>605</v>
      </c>
      <c r="I218" s="15" t="s">
        <v>613</v>
      </c>
      <c r="J218" s="27" t="str">
        <f>IF( F218 = "Sovereign", "x", "" )</f>
        <v/>
      </c>
      <c r="K218" s="15">
        <f>( $C218&lt;=$Q$1 )*( $D218 &gt; $Q$1 ) * 1</f>
        <v>0</v>
      </c>
      <c r="L218" s="19"/>
      <c r="M218" s="19"/>
      <c r="O218" s="19">
        <v>217</v>
      </c>
    </row>
    <row r="219" spans="1:15" x14ac:dyDescent="0.2">
      <c r="A219" s="29" t="s">
        <v>943</v>
      </c>
      <c r="B219" s="15" t="s">
        <v>129</v>
      </c>
      <c r="C219" s="15">
        <v>19710903</v>
      </c>
      <c r="D219" s="15">
        <v>20261231</v>
      </c>
      <c r="F219" s="27" t="s">
        <v>683</v>
      </c>
      <c r="H219" s="28" t="s">
        <v>605</v>
      </c>
      <c r="I219" s="15" t="s">
        <v>1582</v>
      </c>
      <c r="J219" s="27" t="str">
        <f>IF( F219 = "Sovereign", "x", "" )</f>
        <v>x</v>
      </c>
      <c r="K219" s="15">
        <f>( $C219&lt;=$Q$1 )*( $D219 &gt; $Q$1 ) * 1</f>
        <v>1</v>
      </c>
      <c r="L219" s="19"/>
      <c r="N219" s="15" t="s">
        <v>344</v>
      </c>
      <c r="O219" s="19">
        <v>218</v>
      </c>
    </row>
    <row r="220" spans="1:15" x14ac:dyDescent="0.2">
      <c r="A220" s="29" t="s">
        <v>1582</v>
      </c>
      <c r="B220" s="15" t="s">
        <v>129</v>
      </c>
      <c r="C220" s="15">
        <v>19161103</v>
      </c>
      <c r="D220" s="15">
        <v>19710903</v>
      </c>
      <c r="E220" s="15" t="s">
        <v>2404</v>
      </c>
      <c r="F220" s="27" t="s">
        <v>684</v>
      </c>
      <c r="G220" s="27" t="s">
        <v>173</v>
      </c>
      <c r="H220" s="28" t="s">
        <v>605</v>
      </c>
      <c r="I220" s="15" t="s">
        <v>613</v>
      </c>
      <c r="J220" s="27" t="str">
        <f>IF( F220 = "Sovereign", "x", "" )</f>
        <v/>
      </c>
      <c r="K220" s="15">
        <f>( $C220&lt;=$Q$1 )*( $D220 &gt; $Q$1 ) * 1</f>
        <v>0</v>
      </c>
      <c r="L220" s="19"/>
      <c r="M220" s="19"/>
      <c r="O220" s="19">
        <v>219</v>
      </c>
    </row>
    <row r="221" spans="1:15" x14ac:dyDescent="0.2">
      <c r="A221" s="29" t="s">
        <v>939</v>
      </c>
      <c r="B221" s="15" t="s">
        <v>11</v>
      </c>
      <c r="C221" s="15">
        <v>19710815</v>
      </c>
      <c r="D221" s="15">
        <v>20261231</v>
      </c>
      <c r="F221" s="27" t="s">
        <v>683</v>
      </c>
      <c r="H221" s="28" t="s">
        <v>605</v>
      </c>
      <c r="I221" s="15" t="s">
        <v>1585</v>
      </c>
      <c r="J221" s="27" t="str">
        <f>IF( F221 = "Sovereign", "x", "" )</f>
        <v>x</v>
      </c>
      <c r="K221" s="15">
        <f>( $C221&lt;=$Q$1 )*( $D221 &gt; $Q$1 ) * 1</f>
        <v>1</v>
      </c>
      <c r="L221" s="19"/>
      <c r="N221" s="15" t="s">
        <v>202</v>
      </c>
      <c r="O221" s="19">
        <v>220</v>
      </c>
    </row>
    <row r="222" spans="1:15" x14ac:dyDescent="0.2">
      <c r="A222" s="26" t="s">
        <v>1585</v>
      </c>
      <c r="B222" s="15" t="s">
        <v>11</v>
      </c>
      <c r="C222" s="15">
        <v>18610531</v>
      </c>
      <c r="D222" s="15">
        <v>19710815</v>
      </c>
      <c r="E222" s="15" t="s">
        <v>2404</v>
      </c>
      <c r="F222" s="27" t="s">
        <v>684</v>
      </c>
      <c r="G222" s="27" t="s">
        <v>173</v>
      </c>
      <c r="H222" s="28" t="s">
        <v>605</v>
      </c>
      <c r="I222" s="15" t="s">
        <v>1584</v>
      </c>
      <c r="J222" s="27" t="str">
        <f>IF( F222 = "Sovereign", "x", "" )</f>
        <v/>
      </c>
      <c r="K222" s="15">
        <f>( $C222&lt;=$Q$1 )*( $D222 &gt; $Q$1 ) * 1</f>
        <v>0</v>
      </c>
      <c r="L222" s="19"/>
      <c r="M222" s="19"/>
      <c r="O222" s="19">
        <v>221</v>
      </c>
    </row>
    <row r="223" spans="1:15" x14ac:dyDescent="0.2">
      <c r="A223" s="29" t="s">
        <v>1584</v>
      </c>
      <c r="B223" s="15" t="s">
        <v>11</v>
      </c>
      <c r="C223" s="15">
        <v>17830723</v>
      </c>
      <c r="D223" s="15">
        <v>18610531</v>
      </c>
      <c r="F223" s="27" t="s">
        <v>683</v>
      </c>
      <c r="H223" s="28" t="s">
        <v>605</v>
      </c>
      <c r="I223" s="15" t="s">
        <v>613</v>
      </c>
      <c r="J223" s="27" t="str">
        <f>IF( F223 = "Sovereign", "x", "" )</f>
        <v>x</v>
      </c>
      <c r="K223" s="15">
        <f>( $C223&lt;=$Q$1 )*( $D223 &gt; $Q$1 ) * 1</f>
        <v>0</v>
      </c>
      <c r="L223" s="19"/>
      <c r="M223" s="19"/>
      <c r="O223" s="19">
        <v>222</v>
      </c>
    </row>
    <row r="224" spans="1:15" x14ac:dyDescent="0.2">
      <c r="A224" s="29" t="s">
        <v>677</v>
      </c>
      <c r="B224" s="15" t="s">
        <v>82</v>
      </c>
      <c r="C224" s="15">
        <v>19610619</v>
      </c>
      <c r="D224" s="15">
        <v>20261231</v>
      </c>
      <c r="F224" s="27" t="s">
        <v>683</v>
      </c>
      <c r="H224" s="28" t="s">
        <v>605</v>
      </c>
      <c r="I224" s="15" t="s">
        <v>679</v>
      </c>
      <c r="J224" s="27" t="str">
        <f>IF( F224 = "Sovereign", "x", "" )</f>
        <v>x</v>
      </c>
      <c r="K224" s="15">
        <f>( $C224&lt;=$Q$1 )*( $D224 &gt; $Q$1 ) * 1</f>
        <v>1</v>
      </c>
      <c r="L224" s="19"/>
      <c r="M224" s="15" t="s">
        <v>676</v>
      </c>
      <c r="N224" s="15" t="s">
        <v>297</v>
      </c>
      <c r="O224" s="19">
        <v>223</v>
      </c>
    </row>
    <row r="225" spans="1:15" x14ac:dyDescent="0.2">
      <c r="A225" s="29" t="s">
        <v>679</v>
      </c>
      <c r="B225" s="15" t="s">
        <v>82</v>
      </c>
      <c r="C225" s="15">
        <v>18990123</v>
      </c>
      <c r="D225" s="15">
        <v>19610619</v>
      </c>
      <c r="E225" s="15" t="s">
        <v>2404</v>
      </c>
      <c r="F225" s="20" t="s">
        <v>684</v>
      </c>
      <c r="G225" s="27" t="s">
        <v>173</v>
      </c>
      <c r="H225" s="28" t="s">
        <v>605</v>
      </c>
      <c r="I225" s="15" t="s">
        <v>680</v>
      </c>
      <c r="J225" s="27" t="str">
        <f>IF( F225 = "Sovereign", "x", "" )</f>
        <v/>
      </c>
      <c r="K225" s="15">
        <f>( $C225&lt;=$Q$1 )*( $D225 &gt; $Q$1 ) * 1</f>
        <v>0</v>
      </c>
      <c r="L225" s="19"/>
      <c r="M225" s="15" t="s">
        <v>678</v>
      </c>
      <c r="N225" s="15" t="s">
        <v>297</v>
      </c>
      <c r="O225" s="19">
        <v>224</v>
      </c>
    </row>
    <row r="226" spans="1:15" x14ac:dyDescent="0.2">
      <c r="A226" s="29" t="s">
        <v>1592</v>
      </c>
      <c r="B226" s="15" t="s">
        <v>82</v>
      </c>
      <c r="C226" s="15">
        <v>17520101</v>
      </c>
      <c r="D226" s="15">
        <v>18990123</v>
      </c>
      <c r="F226" s="20" t="s">
        <v>683</v>
      </c>
      <c r="H226" s="28" t="s">
        <v>605</v>
      </c>
      <c r="I226" s="15" t="s">
        <v>613</v>
      </c>
      <c r="J226" s="27" t="str">
        <f>IF( F226 = "Sovereign", "x", "" )</f>
        <v>x</v>
      </c>
      <c r="K226" s="15">
        <f>( $C226&lt;=$Q$1 )*( $D226 &gt; $Q$1 ) * 1</f>
        <v>0</v>
      </c>
      <c r="L226" s="19"/>
      <c r="M226" s="15" t="s">
        <v>678</v>
      </c>
      <c r="N226" s="15" t="s">
        <v>297</v>
      </c>
      <c r="O226" s="19">
        <v>225</v>
      </c>
    </row>
    <row r="227" spans="1:15" x14ac:dyDescent="0.2">
      <c r="A227" s="29" t="s">
        <v>948</v>
      </c>
      <c r="B227" s="15" t="s">
        <v>72</v>
      </c>
      <c r="C227" s="15">
        <v>19321003</v>
      </c>
      <c r="D227" s="15">
        <v>20261231</v>
      </c>
      <c r="F227" s="27" t="s">
        <v>683</v>
      </c>
      <c r="H227" s="28" t="s">
        <v>605</v>
      </c>
      <c r="I227" s="15" t="s">
        <v>1597</v>
      </c>
      <c r="J227" s="27" t="str">
        <f>IF( F227 = "Sovereign", "x", "" )</f>
        <v>x</v>
      </c>
      <c r="K227" s="15">
        <f>( $C227&lt;=$Q$1 )*( $D227 &gt; $Q$1 ) * 1</f>
        <v>1</v>
      </c>
      <c r="L227" s="19"/>
      <c r="N227" s="15" t="s">
        <v>285</v>
      </c>
      <c r="O227" s="19">
        <v>226</v>
      </c>
    </row>
    <row r="228" spans="1:15" x14ac:dyDescent="0.2">
      <c r="A228" s="29" t="s">
        <v>1597</v>
      </c>
      <c r="B228" s="15" t="s">
        <v>1598</v>
      </c>
      <c r="C228" s="15">
        <v>19200425</v>
      </c>
      <c r="D228" s="15">
        <v>19321003</v>
      </c>
      <c r="E228" s="15" t="s">
        <v>2404</v>
      </c>
      <c r="F228" s="27" t="s">
        <v>684</v>
      </c>
      <c r="G228" s="27" t="s">
        <v>173</v>
      </c>
      <c r="H228" s="28" t="s">
        <v>605</v>
      </c>
      <c r="I228" s="15" t="s">
        <v>1596</v>
      </c>
      <c r="J228" s="27" t="str">
        <f>IF( F228 = "Sovereign", "x", "" )</f>
        <v/>
      </c>
      <c r="K228" s="15">
        <f>( $C228&lt;=$Q$1 )*( $D228 &gt; $Q$1 ) * 1</f>
        <v>0</v>
      </c>
      <c r="L228" s="19"/>
      <c r="M228" s="19"/>
      <c r="O228" s="19">
        <v>227</v>
      </c>
    </row>
    <row r="229" spans="1:15" x14ac:dyDescent="0.2">
      <c r="A229" s="29" t="s">
        <v>1596</v>
      </c>
      <c r="B229" s="15" t="s">
        <v>1595</v>
      </c>
      <c r="C229" s="15">
        <v>15340101</v>
      </c>
      <c r="D229" s="15">
        <v>19200425</v>
      </c>
      <c r="F229" s="27" t="s">
        <v>684</v>
      </c>
      <c r="G229" s="27" t="s">
        <v>681</v>
      </c>
      <c r="H229" s="28" t="s">
        <v>605</v>
      </c>
      <c r="I229" s="15" t="s">
        <v>613</v>
      </c>
      <c r="J229" s="27" t="str">
        <f>IF( F229 = "Sovereign", "x", "" )</f>
        <v/>
      </c>
      <c r="K229" s="15">
        <f>( $C229&lt;=$Q$1 )*( $D229 &gt; $Q$1 ) * 1</f>
        <v>0</v>
      </c>
      <c r="L229" s="19"/>
      <c r="M229" s="19"/>
      <c r="O229" s="19">
        <v>228</v>
      </c>
    </row>
    <row r="230" spans="1:15" x14ac:dyDescent="0.2">
      <c r="A230" s="29" t="s">
        <v>1642</v>
      </c>
      <c r="B230" s="15" t="s">
        <v>1641</v>
      </c>
      <c r="C230" s="15">
        <v>15010101</v>
      </c>
      <c r="D230" s="15">
        <v>20261231</v>
      </c>
      <c r="F230" s="27" t="s">
        <v>683</v>
      </c>
      <c r="H230" s="28" t="s">
        <v>605</v>
      </c>
      <c r="I230" s="15" t="s">
        <v>613</v>
      </c>
      <c r="J230" s="27" t="str">
        <f>IF( F230 = "Sovereign", "x", "" )</f>
        <v>x</v>
      </c>
      <c r="K230" s="15">
        <f>( $C230&lt;=$Q$1 )*( $D230 &gt; $Q$1 ) * 1</f>
        <v>1</v>
      </c>
      <c r="L230" s="19"/>
      <c r="M230" s="19"/>
      <c r="O230" s="19">
        <v>229</v>
      </c>
    </row>
    <row r="231" spans="1:15" x14ac:dyDescent="0.2">
      <c r="A231" s="29" t="s">
        <v>1651</v>
      </c>
      <c r="B231" s="15" t="s">
        <v>0</v>
      </c>
      <c r="C231" s="15">
        <v>17470601</v>
      </c>
      <c r="D231" s="15">
        <v>20261231</v>
      </c>
      <c r="F231" s="27" t="s">
        <v>683</v>
      </c>
      <c r="H231" s="28" t="s">
        <v>605</v>
      </c>
      <c r="I231" s="15" t="s">
        <v>613</v>
      </c>
      <c r="J231" s="27" t="str">
        <f>IF( F231 = "Sovereign", "x", "" )</f>
        <v>x</v>
      </c>
      <c r="K231" s="15">
        <f>( $C231&lt;=$Q$1 )*( $D231 &gt; $Q$1 ) * 1</f>
        <v>1</v>
      </c>
      <c r="L231" s="19"/>
      <c r="N231" s="15" t="s">
        <v>189</v>
      </c>
      <c r="O231" s="19">
        <v>230</v>
      </c>
    </row>
    <row r="232" spans="1:15" x14ac:dyDescent="0.2">
      <c r="A232" s="29" t="s">
        <v>968</v>
      </c>
      <c r="B232" s="15" t="s">
        <v>120</v>
      </c>
      <c r="C232" s="15">
        <v>19470814</v>
      </c>
      <c r="D232" s="15">
        <v>20261231</v>
      </c>
      <c r="F232" s="27" t="s">
        <v>683</v>
      </c>
      <c r="H232" s="28" t="s">
        <v>605</v>
      </c>
      <c r="I232" s="15" t="s">
        <v>1664</v>
      </c>
      <c r="J232" s="27" t="str">
        <f>IF( F232 = "Sovereign", "x", "" )</f>
        <v>x</v>
      </c>
      <c r="K232" s="15">
        <f>( $C232&lt;=$Q$1 )*( $D232 &gt; $Q$1 ) * 1</f>
        <v>1</v>
      </c>
      <c r="L232" s="19"/>
      <c r="N232" s="15" t="s">
        <v>335</v>
      </c>
      <c r="O232" s="19">
        <v>231</v>
      </c>
    </row>
    <row r="233" spans="1:15" x14ac:dyDescent="0.2">
      <c r="A233" s="29" t="s">
        <v>2247</v>
      </c>
      <c r="B233" s="15" t="s">
        <v>69</v>
      </c>
      <c r="C233" s="15">
        <v>19470815</v>
      </c>
      <c r="D233" s="15">
        <v>20261231</v>
      </c>
      <c r="F233" s="27" t="s">
        <v>683</v>
      </c>
      <c r="H233" s="28" t="s">
        <v>605</v>
      </c>
      <c r="I233" s="15" t="s">
        <v>1664</v>
      </c>
      <c r="J233" s="27" t="str">
        <f>IF( F233 = "Sovereign", "x", "" )</f>
        <v>x</v>
      </c>
      <c r="K233" s="15">
        <f>( $C233&lt;=$Q$1 )*( $D233 &gt; $Q$1 ) * 1</f>
        <v>1</v>
      </c>
      <c r="L233" s="19"/>
      <c r="N233" s="15" t="s">
        <v>277</v>
      </c>
      <c r="O233" s="19">
        <v>232</v>
      </c>
    </row>
    <row r="234" spans="1:15" x14ac:dyDescent="0.2">
      <c r="A234" s="29" t="s">
        <v>1664</v>
      </c>
      <c r="B234" s="15" t="s">
        <v>1663</v>
      </c>
      <c r="C234" s="15">
        <v>18580802</v>
      </c>
      <c r="D234" s="15">
        <v>19470815</v>
      </c>
      <c r="E234" s="15" t="s">
        <v>2404</v>
      </c>
      <c r="F234" s="27" t="s">
        <v>684</v>
      </c>
      <c r="G234" s="27" t="s">
        <v>173</v>
      </c>
      <c r="H234" s="28" t="s">
        <v>605</v>
      </c>
      <c r="I234" s="15" t="s">
        <v>1670</v>
      </c>
      <c r="J234" s="27" t="str">
        <f>IF( F234 = "Sovereign", "x", "" )</f>
        <v/>
      </c>
      <c r="K234" s="15">
        <f>( $C234&lt;=$Q$1 )*( $D234 &gt; $Q$1 ) * 1</f>
        <v>0</v>
      </c>
      <c r="L234" s="19"/>
      <c r="M234" s="19"/>
      <c r="O234" s="19">
        <v>233</v>
      </c>
    </row>
    <row r="235" spans="1:15" x14ac:dyDescent="0.2">
      <c r="A235" s="29" t="s">
        <v>1670</v>
      </c>
      <c r="B235" s="15" t="s">
        <v>1671</v>
      </c>
      <c r="C235" s="15">
        <v>17570623</v>
      </c>
      <c r="D235" s="15">
        <v>18580802</v>
      </c>
      <c r="E235" s="15" t="s">
        <v>2404</v>
      </c>
      <c r="F235" s="27" t="s">
        <v>684</v>
      </c>
      <c r="G235" s="27" t="s">
        <v>173</v>
      </c>
      <c r="H235" s="28" t="s">
        <v>605</v>
      </c>
      <c r="I235" s="15" t="s">
        <v>613</v>
      </c>
      <c r="J235" s="27" t="str">
        <f>IF( F235 = "Sovereign", "x", "" )</f>
        <v/>
      </c>
      <c r="K235" s="15">
        <f>( $C235&lt;=$Q$1 )*( $D235 &gt; $Q$1 ) * 1</f>
        <v>0</v>
      </c>
      <c r="L235" s="19"/>
      <c r="M235" s="19"/>
      <c r="O235" s="19">
        <v>234</v>
      </c>
    </row>
    <row r="236" spans="1:15" x14ac:dyDescent="0.2">
      <c r="A236" s="29" t="s">
        <v>967</v>
      </c>
      <c r="B236" s="15" t="s">
        <v>153</v>
      </c>
      <c r="C236" s="15">
        <v>19480204</v>
      </c>
      <c r="D236" s="15">
        <v>20261231</v>
      </c>
      <c r="F236" s="27" t="s">
        <v>683</v>
      </c>
      <c r="H236" s="28" t="s">
        <v>605</v>
      </c>
      <c r="I236" s="15" t="s">
        <v>1682</v>
      </c>
      <c r="J236" s="27" t="str">
        <f>IF( F236 = "Sovereign", "x", "" )</f>
        <v>x</v>
      </c>
      <c r="K236" s="15">
        <f>( $C236&lt;=$Q$1 )*( $D236 &gt; $Q$1 ) * 1</f>
        <v>1</v>
      </c>
      <c r="L236" s="19"/>
      <c r="N236" s="15" t="s">
        <v>366</v>
      </c>
      <c r="O236" s="19">
        <v>235</v>
      </c>
    </row>
    <row r="237" spans="1:15" x14ac:dyDescent="0.2">
      <c r="A237" s="29" t="s">
        <v>1682</v>
      </c>
      <c r="B237" s="15" t="s">
        <v>1683</v>
      </c>
      <c r="C237" s="15">
        <v>18150302</v>
      </c>
      <c r="D237" s="15">
        <v>19480204</v>
      </c>
      <c r="E237" s="15" t="s">
        <v>2404</v>
      </c>
      <c r="F237" s="27" t="s">
        <v>684</v>
      </c>
      <c r="G237" s="27" t="s">
        <v>173</v>
      </c>
      <c r="H237" s="28" t="s">
        <v>605</v>
      </c>
      <c r="I237" s="15" t="s">
        <v>1680</v>
      </c>
      <c r="J237" s="27" t="str">
        <f>IF( F237 = "Sovereign", "x", "" )</f>
        <v/>
      </c>
      <c r="K237" s="15">
        <f>( $C237&lt;=$Q$1 )*( $D237 &gt; $Q$1 ) * 1</f>
        <v>0</v>
      </c>
      <c r="L237" s="19"/>
      <c r="M237" s="19"/>
      <c r="O237" s="19">
        <v>236</v>
      </c>
    </row>
    <row r="238" spans="1:15" x14ac:dyDescent="0.2">
      <c r="A238" s="29" t="s">
        <v>1680</v>
      </c>
      <c r="B238" s="15" t="s">
        <v>1681</v>
      </c>
      <c r="C238" s="15">
        <v>14690101</v>
      </c>
      <c r="D238" s="15">
        <v>18150302</v>
      </c>
      <c r="F238" s="27" t="s">
        <v>683</v>
      </c>
      <c r="H238" s="28" t="s">
        <v>605</v>
      </c>
      <c r="I238" s="15" t="s">
        <v>613</v>
      </c>
      <c r="J238" s="27" t="str">
        <f>IF( F238 = "Sovereign", "x", "" )</f>
        <v>x</v>
      </c>
      <c r="K238" s="15">
        <f>( $C238&lt;=$Q$1 )*( $D238 &gt; $Q$1 ) * 1</f>
        <v>0</v>
      </c>
      <c r="L238" s="19"/>
      <c r="M238" s="19"/>
      <c r="O238" s="19">
        <v>237</v>
      </c>
    </row>
    <row r="239" spans="1:15" x14ac:dyDescent="0.2">
      <c r="A239" s="29" t="s">
        <v>942</v>
      </c>
      <c r="B239" s="15" t="s">
        <v>96</v>
      </c>
      <c r="C239" s="15">
        <v>19650726</v>
      </c>
      <c r="D239" s="15">
        <v>20261231</v>
      </c>
      <c r="F239" s="27" t="s">
        <v>683</v>
      </c>
      <c r="H239" s="28" t="s">
        <v>605</v>
      </c>
      <c r="I239" s="15" t="s">
        <v>1693</v>
      </c>
      <c r="J239" s="27" t="str">
        <f>IF( F239 = "Sovereign", "x", "" )</f>
        <v>x</v>
      </c>
      <c r="K239" s="15">
        <f>( $C239&lt;=$Q$1 )*( $D239 &gt; $Q$1 ) * 1</f>
        <v>1</v>
      </c>
      <c r="L239" s="19"/>
      <c r="N239" s="15" t="s">
        <v>310</v>
      </c>
      <c r="O239" s="19">
        <v>238</v>
      </c>
    </row>
    <row r="240" spans="1:15" x14ac:dyDescent="0.2">
      <c r="A240" s="29" t="s">
        <v>1693</v>
      </c>
      <c r="B240" s="15" t="s">
        <v>96</v>
      </c>
      <c r="C240" s="15">
        <v>17960101</v>
      </c>
      <c r="D240" s="15">
        <v>19650726</v>
      </c>
      <c r="E240" s="15" t="s">
        <v>2404</v>
      </c>
      <c r="F240" s="27" t="s">
        <v>684</v>
      </c>
      <c r="G240" s="27" t="s">
        <v>173</v>
      </c>
      <c r="H240" s="28" t="s">
        <v>605</v>
      </c>
      <c r="I240" s="15" t="s">
        <v>1689</v>
      </c>
      <c r="J240" s="27" t="str">
        <f>IF( F240 = "Sovereign", "x", "" )</f>
        <v/>
      </c>
      <c r="K240" s="15">
        <f>( $C240&lt;=$Q$1 )*( $D240 &gt; $Q$1 ) * 1</f>
        <v>0</v>
      </c>
      <c r="L240" s="19"/>
      <c r="M240" s="19"/>
      <c r="O240" s="19">
        <v>239</v>
      </c>
    </row>
    <row r="241" spans="1:15" x14ac:dyDescent="0.2">
      <c r="A241" s="29" t="s">
        <v>1689</v>
      </c>
      <c r="B241" s="15" t="s">
        <v>96</v>
      </c>
      <c r="C241" s="15">
        <v>15730101</v>
      </c>
      <c r="D241" s="15">
        <v>17960101</v>
      </c>
      <c r="F241" s="27" t="s">
        <v>683</v>
      </c>
      <c r="H241" s="28" t="s">
        <v>605</v>
      </c>
      <c r="I241" s="15" t="s">
        <v>613</v>
      </c>
      <c r="J241" s="27" t="str">
        <f>IF( F241 = "Sovereign", "x", "" )</f>
        <v>x</v>
      </c>
      <c r="K241" s="15">
        <f>( $C241&lt;=$Q$1 )*( $D241 &gt; $Q$1 ) * 1</f>
        <v>0</v>
      </c>
      <c r="L241" s="19"/>
      <c r="M241" s="19"/>
      <c r="O241" s="19">
        <v>240</v>
      </c>
    </row>
    <row r="242" spans="1:15" x14ac:dyDescent="0.2">
      <c r="A242" s="29" t="s">
        <v>963</v>
      </c>
      <c r="B242" s="15" t="s">
        <v>12</v>
      </c>
      <c r="C242" s="15">
        <v>19711216</v>
      </c>
      <c r="D242" s="15">
        <v>20261231</v>
      </c>
      <c r="F242" s="27" t="s">
        <v>683</v>
      </c>
      <c r="H242" s="28" t="s">
        <v>605</v>
      </c>
      <c r="I242" s="15" t="s">
        <v>968</v>
      </c>
      <c r="J242" s="27" t="str">
        <f>IF( F242 = "Sovereign", "x", "" )</f>
        <v>x</v>
      </c>
      <c r="K242" s="15">
        <f>( $C242&lt;=$Q$1 )*( $D242 &gt; $Q$1 ) * 1</f>
        <v>1</v>
      </c>
      <c r="L242" s="19"/>
      <c r="N242" s="15" t="s">
        <v>203</v>
      </c>
      <c r="O242" s="19">
        <v>241</v>
      </c>
    </row>
    <row r="243" spans="1:15" x14ac:dyDescent="0.2">
      <c r="A243" s="29" t="s">
        <v>1697</v>
      </c>
      <c r="B243" s="15" t="s">
        <v>111</v>
      </c>
      <c r="C243" s="15">
        <v>17680925</v>
      </c>
      <c r="D243" s="15">
        <v>20261231</v>
      </c>
      <c r="F243" s="27" t="s">
        <v>683</v>
      </c>
      <c r="H243" s="28" t="s">
        <v>605</v>
      </c>
      <c r="I243" s="15" t="s">
        <v>613</v>
      </c>
      <c r="J243" s="27" t="str">
        <f>IF( F243 = "Sovereign", "x", "" )</f>
        <v>x</v>
      </c>
      <c r="K243" s="15">
        <f>( $C243&lt;=$Q$1 )*( $D243 &gt; $Q$1 ) * 1</f>
        <v>1</v>
      </c>
      <c r="L243" s="19"/>
      <c r="N243" s="15" t="s">
        <v>325</v>
      </c>
      <c r="O243" s="19">
        <v>242</v>
      </c>
    </row>
    <row r="244" spans="1:15" x14ac:dyDescent="0.2">
      <c r="A244" s="29" t="s">
        <v>1701</v>
      </c>
      <c r="B244" s="15" t="s">
        <v>18</v>
      </c>
      <c r="C244" s="15">
        <v>16160101</v>
      </c>
      <c r="D244" s="15">
        <v>20261231</v>
      </c>
      <c r="F244" s="27" t="s">
        <v>683</v>
      </c>
      <c r="H244" s="28" t="s">
        <v>605</v>
      </c>
      <c r="I244" s="15" t="s">
        <v>613</v>
      </c>
      <c r="J244" s="27" t="str">
        <f>IF( F244 = "Sovereign", "x", "" )</f>
        <v>x</v>
      </c>
      <c r="K244" s="15">
        <f>( $C244&lt;=$Q$1 )*( $D244 &gt; $Q$1 ) * 1</f>
        <v>1</v>
      </c>
      <c r="L244" s="19"/>
      <c r="N244" s="15" t="s">
        <v>212</v>
      </c>
      <c r="O244" s="19">
        <v>243</v>
      </c>
    </row>
    <row r="245" spans="1:15" x14ac:dyDescent="0.2">
      <c r="A245" s="29" t="s">
        <v>966</v>
      </c>
      <c r="B245" s="15" t="s">
        <v>108</v>
      </c>
      <c r="C245" s="15">
        <v>19480104</v>
      </c>
      <c r="D245" s="15">
        <v>20261231</v>
      </c>
      <c r="F245" s="27" t="s">
        <v>683</v>
      </c>
      <c r="H245" s="28" t="s">
        <v>605</v>
      </c>
      <c r="I245" s="15" t="s">
        <v>2365</v>
      </c>
      <c r="J245" s="27" t="str">
        <f>IF( F245 = "Sovereign", "x", "" )</f>
        <v>x</v>
      </c>
      <c r="K245" s="15">
        <f>( $C245&lt;=$Q$1 )*( $D245 &gt; $Q$1 ) * 1</f>
        <v>1</v>
      </c>
      <c r="L245" s="19"/>
      <c r="N245" s="15" t="s">
        <v>323</v>
      </c>
      <c r="O245" s="19">
        <v>244</v>
      </c>
    </row>
    <row r="246" spans="1:15" x14ac:dyDescent="0.2">
      <c r="A246" s="29" t="s">
        <v>2365</v>
      </c>
      <c r="B246" s="15" t="s">
        <v>1704</v>
      </c>
      <c r="C246" s="15">
        <v>18851129</v>
      </c>
      <c r="D246" s="15">
        <v>19480104</v>
      </c>
      <c r="E246" s="15" t="s">
        <v>2404</v>
      </c>
      <c r="F246" s="27" t="s">
        <v>684</v>
      </c>
      <c r="G246" s="27" t="s">
        <v>173</v>
      </c>
      <c r="H246" s="28" t="s">
        <v>605</v>
      </c>
      <c r="I246" s="15" t="s">
        <v>1705</v>
      </c>
      <c r="J246" s="27" t="str">
        <f>IF( F246 = "Sovereign", "x", "" )</f>
        <v/>
      </c>
      <c r="K246" s="15">
        <f>( $C246&lt;=$Q$1 )*( $D246 &gt; $Q$1 ) * 1</f>
        <v>0</v>
      </c>
      <c r="L246" s="19"/>
      <c r="M246" s="19"/>
      <c r="O246" s="19">
        <v>245</v>
      </c>
    </row>
    <row r="247" spans="1:15" x14ac:dyDescent="0.2">
      <c r="A247" s="29" t="s">
        <v>1705</v>
      </c>
      <c r="B247" s="15" t="s">
        <v>1706</v>
      </c>
      <c r="C247" s="15">
        <v>17520229</v>
      </c>
      <c r="D247" s="15">
        <v>18851129</v>
      </c>
      <c r="F247" s="27" t="s">
        <v>683</v>
      </c>
      <c r="H247" s="28" t="s">
        <v>605</v>
      </c>
      <c r="I247" s="15" t="s">
        <v>613</v>
      </c>
      <c r="J247" s="27" t="str">
        <f>IF( F247 = "Sovereign", "x", "" )</f>
        <v>x</v>
      </c>
      <c r="K247" s="15">
        <f>( $C247&lt;=$Q$1 )*( $D247 &gt; $Q$1 ) * 1</f>
        <v>0</v>
      </c>
      <c r="L247" s="19"/>
      <c r="M247" s="19"/>
      <c r="O247" s="19">
        <v>246</v>
      </c>
    </row>
    <row r="248" spans="1:15" x14ac:dyDescent="0.2">
      <c r="A248" s="29" t="s">
        <v>1723</v>
      </c>
      <c r="B248" s="15" t="s">
        <v>162</v>
      </c>
      <c r="C248" s="15">
        <v>13510101</v>
      </c>
      <c r="D248" s="15">
        <v>20261231</v>
      </c>
      <c r="F248" s="27" t="s">
        <v>683</v>
      </c>
      <c r="H248" s="28" t="s">
        <v>605</v>
      </c>
      <c r="I248" s="15" t="s">
        <v>613</v>
      </c>
      <c r="J248" s="27" t="str">
        <f>IF( F248 = "Sovereign", "x", "" )</f>
        <v>x</v>
      </c>
      <c r="K248" s="15">
        <f>( $C248&lt;=$Q$1 )*( $D248 &gt; $Q$1 ) * 1</f>
        <v>1</v>
      </c>
      <c r="L248" s="19"/>
      <c r="N248" s="15" t="s">
        <v>377</v>
      </c>
      <c r="O248" s="19">
        <v>247</v>
      </c>
    </row>
    <row r="249" spans="1:15" x14ac:dyDescent="0.2">
      <c r="A249" s="29" t="s">
        <v>962</v>
      </c>
      <c r="B249" s="15" t="s">
        <v>95</v>
      </c>
      <c r="C249" s="15">
        <v>19630916</v>
      </c>
      <c r="D249" s="15">
        <v>20261231</v>
      </c>
      <c r="F249" s="27" t="s">
        <v>683</v>
      </c>
      <c r="H249" s="28" t="s">
        <v>605</v>
      </c>
      <c r="I249" s="15" t="s">
        <v>1766</v>
      </c>
      <c r="J249" s="27" t="str">
        <f>IF( F249 = "Sovereign", "x", "" )</f>
        <v>x</v>
      </c>
      <c r="K249" s="15">
        <f>( $C249&lt;=$Q$1 )*( $D249 &gt; $Q$1 ) * 1</f>
        <v>1</v>
      </c>
      <c r="L249" s="19"/>
      <c r="N249" s="15" t="s">
        <v>309</v>
      </c>
      <c r="O249" s="19">
        <v>248</v>
      </c>
    </row>
    <row r="250" spans="1:15" x14ac:dyDescent="0.2">
      <c r="A250" s="29" t="s">
        <v>1737</v>
      </c>
      <c r="B250" s="15" t="s">
        <v>1735</v>
      </c>
      <c r="C250" s="15">
        <v>18880614</v>
      </c>
      <c r="D250" s="15">
        <v>19630916</v>
      </c>
      <c r="E250" s="15" t="s">
        <v>2404</v>
      </c>
      <c r="F250" s="27" t="s">
        <v>684</v>
      </c>
      <c r="G250" s="27" t="s">
        <v>173</v>
      </c>
      <c r="H250" s="28" t="s">
        <v>605</v>
      </c>
      <c r="I250" s="15" t="s">
        <v>1736</v>
      </c>
      <c r="J250" s="27" t="str">
        <f>IF( F250 = "Sovereign", "x", "" )</f>
        <v/>
      </c>
      <c r="K250" s="15">
        <f>( $C250&lt;=$Q$1 )*( $D250 &gt; $Q$1 ) * 1</f>
        <v>0</v>
      </c>
      <c r="L250" s="19"/>
      <c r="M250" s="19"/>
      <c r="O250" s="19">
        <v>249</v>
      </c>
    </row>
    <row r="251" spans="1:15" x14ac:dyDescent="0.2">
      <c r="A251" s="29" t="s">
        <v>1736</v>
      </c>
      <c r="B251" s="15" t="s">
        <v>1735</v>
      </c>
      <c r="C251" s="15">
        <v>18410924</v>
      </c>
      <c r="D251" s="15">
        <v>18880614</v>
      </c>
      <c r="F251" s="27" t="s">
        <v>683</v>
      </c>
      <c r="H251" s="28" t="s">
        <v>605</v>
      </c>
      <c r="I251" s="15" t="s">
        <v>613</v>
      </c>
      <c r="J251" s="27" t="str">
        <f>IF( F251 = "Sovereign", "x", "" )</f>
        <v>x</v>
      </c>
      <c r="K251" s="15">
        <f>( $C251&lt;=$Q$1 )*( $D251 &gt; $Q$1 ) * 1</f>
        <v>0</v>
      </c>
      <c r="L251" s="19"/>
      <c r="M251" s="19"/>
      <c r="O251" s="19">
        <v>250</v>
      </c>
    </row>
    <row r="252" spans="1:15" x14ac:dyDescent="0.2">
      <c r="A252" s="29" t="s">
        <v>1738</v>
      </c>
      <c r="B252" s="15" t="s">
        <v>1739</v>
      </c>
      <c r="C252" s="15">
        <v>18810826</v>
      </c>
      <c r="D252" s="15">
        <v>19630916</v>
      </c>
      <c r="E252" s="15" t="s">
        <v>2404</v>
      </c>
      <c r="F252" s="27" t="s">
        <v>684</v>
      </c>
      <c r="G252" s="27" t="s">
        <v>173</v>
      </c>
      <c r="H252" s="28" t="s">
        <v>605</v>
      </c>
      <c r="I252" s="15" t="s">
        <v>613</v>
      </c>
      <c r="J252" s="27" t="str">
        <f>IF( F252 = "Sovereign", "x", "" )</f>
        <v/>
      </c>
      <c r="K252" s="15">
        <f>( $C252&lt;=$Q$1 )*( $D252 &gt; $Q$1 ) * 1</f>
        <v>0</v>
      </c>
      <c r="L252" s="19"/>
      <c r="M252" s="19"/>
      <c r="O252" s="19">
        <v>251</v>
      </c>
    </row>
    <row r="253" spans="1:15" x14ac:dyDescent="0.2">
      <c r="A253" s="29" t="s">
        <v>1740</v>
      </c>
      <c r="B253" s="15" t="s">
        <v>1741</v>
      </c>
      <c r="C253" s="15">
        <v>18460101</v>
      </c>
      <c r="D253" s="15">
        <v>19460715</v>
      </c>
      <c r="E253" s="15" t="s">
        <v>2404</v>
      </c>
      <c r="F253" s="27" t="s">
        <v>684</v>
      </c>
      <c r="G253" s="27" t="s">
        <v>173</v>
      </c>
      <c r="H253" s="28" t="s">
        <v>605</v>
      </c>
      <c r="I253" s="15" t="s">
        <v>613</v>
      </c>
      <c r="J253" s="27" t="str">
        <f>IF( F253 = "Sovereign", "x", "" )</f>
        <v/>
      </c>
      <c r="K253" s="15">
        <f>( $C253&lt;=$Q$1 )*( $D253 &gt; $Q$1 ) * 1</f>
        <v>0</v>
      </c>
      <c r="L253" s="19"/>
      <c r="M253" s="19"/>
      <c r="O253" s="19">
        <v>252</v>
      </c>
    </row>
    <row r="254" spans="1:15" x14ac:dyDescent="0.2">
      <c r="A254" s="29" t="s">
        <v>1734</v>
      </c>
      <c r="B254" s="15" t="s">
        <v>1733</v>
      </c>
      <c r="C254" s="15">
        <v>19480131</v>
      </c>
      <c r="D254" s="15">
        <v>19630916</v>
      </c>
      <c r="E254" s="15" t="s">
        <v>2404</v>
      </c>
      <c r="F254" s="27" t="s">
        <v>684</v>
      </c>
      <c r="G254" s="27" t="s">
        <v>173</v>
      </c>
      <c r="H254" s="28" t="s">
        <v>605</v>
      </c>
      <c r="I254" s="15" t="s">
        <v>1731</v>
      </c>
      <c r="J254" s="27" t="str">
        <f>IF( F254 = "Sovereign", "x", "" )</f>
        <v/>
      </c>
      <c r="K254" s="15">
        <f>( $C254&lt;=$Q$1 )*( $D254 &gt; $Q$1 ) * 1</f>
        <v>0</v>
      </c>
      <c r="L254" s="19"/>
      <c r="M254" s="19"/>
      <c r="O254" s="19">
        <v>253</v>
      </c>
    </row>
    <row r="255" spans="1:15" x14ac:dyDescent="0.2">
      <c r="A255" s="29" t="s">
        <v>1731</v>
      </c>
      <c r="B255" s="15" t="s">
        <v>1732</v>
      </c>
      <c r="C255" s="15">
        <v>19460401</v>
      </c>
      <c r="D255" s="15">
        <v>19480131</v>
      </c>
      <c r="E255" s="15" t="s">
        <v>2404</v>
      </c>
      <c r="F255" s="27" t="s">
        <v>684</v>
      </c>
      <c r="G255" s="27" t="s">
        <v>173</v>
      </c>
      <c r="H255" s="28" t="s">
        <v>605</v>
      </c>
      <c r="I255" s="15" t="s">
        <v>1493</v>
      </c>
      <c r="J255" s="27" t="str">
        <f>IF( F255 = "Sovereign", "x", "" )</f>
        <v/>
      </c>
      <c r="K255" s="15">
        <f>( $C255&lt;=$Q$1 )*( $D255 &gt; $Q$1 ) * 1</f>
        <v>0</v>
      </c>
      <c r="L255" s="19"/>
      <c r="M255" s="19"/>
      <c r="O255" s="19">
        <v>254</v>
      </c>
    </row>
    <row r="256" spans="1:15" x14ac:dyDescent="0.2">
      <c r="A256" s="29" t="s">
        <v>1759</v>
      </c>
      <c r="B256" s="15" t="s">
        <v>70</v>
      </c>
      <c r="C256" s="15">
        <v>19491227</v>
      </c>
      <c r="D256" s="15">
        <v>20261231</v>
      </c>
      <c r="F256" s="27" t="s">
        <v>683</v>
      </c>
      <c r="H256" s="28" t="s">
        <v>605</v>
      </c>
      <c r="I256" s="15" t="s">
        <v>1824</v>
      </c>
      <c r="J256" s="27" t="str">
        <f>IF( F256 = "Sovereign", "x", "" )</f>
        <v>x</v>
      </c>
      <c r="K256" s="15">
        <f>( $C256&lt;=$Q$1 )*( $D256 &gt; $Q$1 ) * 1</f>
        <v>1</v>
      </c>
      <c r="L256" s="19"/>
      <c r="N256" s="15" t="s">
        <v>278</v>
      </c>
      <c r="O256" s="19">
        <v>255</v>
      </c>
    </row>
    <row r="257" spans="1:15" x14ac:dyDescent="0.2">
      <c r="A257" s="29" t="s">
        <v>1757</v>
      </c>
      <c r="B257" s="15" t="s">
        <v>1758</v>
      </c>
      <c r="C257" s="15">
        <v>18000101</v>
      </c>
      <c r="D257" s="15">
        <v>19491227</v>
      </c>
      <c r="E257" s="15" t="s">
        <v>2406</v>
      </c>
      <c r="F257" s="27" t="s">
        <v>684</v>
      </c>
      <c r="G257" s="27" t="s">
        <v>112</v>
      </c>
      <c r="H257" s="28" t="s">
        <v>605</v>
      </c>
      <c r="I257" s="15" t="s">
        <v>613</v>
      </c>
      <c r="J257" s="27" t="str">
        <f>IF( F257 = "Sovereign", "x", "" )</f>
        <v/>
      </c>
      <c r="K257" s="15">
        <f>( $C257&lt;=$Q$1 )*( $D257 &gt; $Q$1 ) * 1</f>
        <v>0</v>
      </c>
      <c r="L257" s="19"/>
      <c r="M257" s="19"/>
      <c r="O257" s="19">
        <v>256</v>
      </c>
    </row>
    <row r="258" spans="1:15" x14ac:dyDescent="0.2">
      <c r="A258" s="29" t="s">
        <v>2366</v>
      </c>
      <c r="B258" s="15" t="s">
        <v>45</v>
      </c>
      <c r="C258" s="15">
        <v>20020520</v>
      </c>
      <c r="D258" s="15">
        <v>20261231</v>
      </c>
      <c r="F258" s="27" t="s">
        <v>683</v>
      </c>
      <c r="H258" s="28" t="s">
        <v>605</v>
      </c>
      <c r="I258" s="15" t="s">
        <v>1759</v>
      </c>
      <c r="J258" s="27" t="str">
        <f>IF( F258 = "Sovereign", "x", "" )</f>
        <v>x</v>
      </c>
      <c r="K258" s="15">
        <f>( $C258&lt;=$Q$1 )*( $D258 &gt; $Q$1 ) * 1</f>
        <v>1</v>
      </c>
      <c r="L258" s="19"/>
      <c r="N258" s="15" t="s">
        <v>246</v>
      </c>
      <c r="O258" s="19">
        <v>257</v>
      </c>
    </row>
    <row r="259" spans="1:15" x14ac:dyDescent="0.2">
      <c r="A259" s="29" t="s">
        <v>1764</v>
      </c>
      <c r="B259" s="15" t="s">
        <v>1765</v>
      </c>
      <c r="C259" s="15">
        <v>17020101</v>
      </c>
      <c r="D259" s="15">
        <v>19751207</v>
      </c>
      <c r="E259" s="15" t="s">
        <v>2410</v>
      </c>
      <c r="F259" s="27" t="s">
        <v>684</v>
      </c>
      <c r="G259" s="27" t="s">
        <v>128</v>
      </c>
      <c r="H259" s="28" t="s">
        <v>605</v>
      </c>
      <c r="I259" s="15" t="s">
        <v>613</v>
      </c>
      <c r="J259" s="27" t="str">
        <f>IF( F259 = "Sovereign", "x", "" )</f>
        <v/>
      </c>
      <c r="K259" s="15">
        <f>( $C259&lt;=$Q$1 )*( $D259 &gt; $Q$1 ) * 1</f>
        <v>0</v>
      </c>
      <c r="L259" s="19"/>
      <c r="M259" s="19"/>
      <c r="O259" s="19">
        <v>258</v>
      </c>
    </row>
    <row r="260" spans="1:15" x14ac:dyDescent="0.2">
      <c r="A260" s="29" t="s">
        <v>949</v>
      </c>
      <c r="B260" s="15" t="s">
        <v>23</v>
      </c>
      <c r="C260" s="15">
        <v>19840101</v>
      </c>
      <c r="D260" s="15">
        <v>20261231</v>
      </c>
      <c r="F260" s="27" t="s">
        <v>683</v>
      </c>
      <c r="H260" s="28" t="s">
        <v>605</v>
      </c>
      <c r="I260" s="15" t="s">
        <v>1771</v>
      </c>
      <c r="J260" s="27" t="str">
        <f>IF( F260 = "Sovereign", "x", "" )</f>
        <v>x</v>
      </c>
      <c r="K260" s="15">
        <f>( $C260&lt;=$Q$1 )*( $D260 &gt; $Q$1 ) * 1</f>
        <v>1</v>
      </c>
      <c r="L260" s="19"/>
      <c r="N260" s="15" t="s">
        <v>217</v>
      </c>
      <c r="O260" s="19">
        <v>259</v>
      </c>
    </row>
    <row r="261" spans="1:15" x14ac:dyDescent="0.2">
      <c r="A261" s="29" t="s">
        <v>1771</v>
      </c>
      <c r="B261" s="15" t="s">
        <v>23</v>
      </c>
      <c r="C261" s="15">
        <v>18880917</v>
      </c>
      <c r="D261" s="15">
        <v>19840101</v>
      </c>
      <c r="E261" s="15" t="s">
        <v>2404</v>
      </c>
      <c r="F261" s="27" t="s">
        <v>684</v>
      </c>
      <c r="G261" s="27" t="s">
        <v>173</v>
      </c>
      <c r="H261" s="28" t="s">
        <v>605</v>
      </c>
      <c r="I261" s="15" t="s">
        <v>1772</v>
      </c>
      <c r="J261" s="27" t="str">
        <f>IF( F261 = "Sovereign", "x", "" )</f>
        <v/>
      </c>
      <c r="K261" s="15">
        <f>( $C261&lt;=$Q$1 )*( $D261 &gt; $Q$1 ) * 1</f>
        <v>0</v>
      </c>
      <c r="L261" s="19"/>
      <c r="M261" s="19"/>
      <c r="O261" s="19">
        <v>260</v>
      </c>
    </row>
    <row r="262" spans="1:15" x14ac:dyDescent="0.2">
      <c r="A262" s="29" t="s">
        <v>1772</v>
      </c>
      <c r="B262" s="15" t="s">
        <v>1773</v>
      </c>
      <c r="C262" s="15">
        <v>13680101</v>
      </c>
      <c r="D262" s="15">
        <v>18880917</v>
      </c>
      <c r="F262" s="27" t="s">
        <v>683</v>
      </c>
      <c r="H262" s="28" t="s">
        <v>605</v>
      </c>
      <c r="I262" s="15" t="s">
        <v>613</v>
      </c>
      <c r="J262" s="27" t="str">
        <f>IF( F262 = "Sovereign", "x", "" )</f>
        <v>x</v>
      </c>
      <c r="K262" s="15">
        <f>( $C262&lt;=$Q$1 )*( $D262 &gt; $Q$1 ) * 1</f>
        <v>0</v>
      </c>
      <c r="L262" s="19"/>
      <c r="M262" s="19"/>
      <c r="O262" s="19">
        <v>261</v>
      </c>
    </row>
    <row r="263" spans="1:15" x14ac:dyDescent="0.2">
      <c r="A263" s="15" t="s">
        <v>965</v>
      </c>
      <c r="B263" s="15" t="s">
        <v>126</v>
      </c>
      <c r="C263" s="15">
        <v>19460704</v>
      </c>
      <c r="D263" s="15">
        <v>20261231</v>
      </c>
      <c r="F263" s="27" t="s">
        <v>683</v>
      </c>
      <c r="H263" s="28" t="s">
        <v>605</v>
      </c>
      <c r="I263" s="15" t="s">
        <v>1779</v>
      </c>
      <c r="J263" s="27" t="str">
        <f>IF( F263 = "Sovereign", "x", "" )</f>
        <v>x</v>
      </c>
      <c r="K263" s="15">
        <f>( $C263&lt;=$Q$1 )*( $D263 &gt; $Q$1 ) * 1</f>
        <v>1</v>
      </c>
      <c r="L263" s="19"/>
      <c r="N263" s="15" t="s">
        <v>341</v>
      </c>
      <c r="O263" s="19">
        <v>262</v>
      </c>
    </row>
    <row r="264" spans="1:15" x14ac:dyDescent="0.2">
      <c r="A264" s="15" t="s">
        <v>1779</v>
      </c>
      <c r="B264" s="15" t="s">
        <v>126</v>
      </c>
      <c r="C264" s="15">
        <v>18981210</v>
      </c>
      <c r="D264" s="15">
        <v>19460704</v>
      </c>
      <c r="E264" s="15" t="s">
        <v>2403</v>
      </c>
      <c r="F264" s="27" t="s">
        <v>684</v>
      </c>
      <c r="G264" s="27" t="s">
        <v>698</v>
      </c>
      <c r="H264" s="28" t="s">
        <v>605</v>
      </c>
      <c r="I264" s="15" t="s">
        <v>1780</v>
      </c>
      <c r="J264" s="27" t="str">
        <f>IF( F264 = "Sovereign", "x", "" )</f>
        <v/>
      </c>
      <c r="K264" s="15">
        <f>( $C264&lt;=$Q$1 )*( $D264 &gt; $Q$1 ) * 1</f>
        <v>0</v>
      </c>
      <c r="L264" s="19"/>
      <c r="M264" s="19"/>
      <c r="O264" s="19">
        <v>263</v>
      </c>
    </row>
    <row r="265" spans="1:15" x14ac:dyDescent="0.2">
      <c r="A265" s="29" t="s">
        <v>952</v>
      </c>
      <c r="B265" s="15" t="s">
        <v>27</v>
      </c>
      <c r="C265" s="15">
        <v>19531109</v>
      </c>
      <c r="D265" s="15">
        <v>20261231</v>
      </c>
      <c r="F265" s="27" t="s">
        <v>683</v>
      </c>
      <c r="H265" s="28" t="s">
        <v>605</v>
      </c>
      <c r="I265" s="15" t="s">
        <v>1784</v>
      </c>
      <c r="J265" s="27" t="str">
        <f>IF( F265 = "Sovereign", "x", "" )</f>
        <v>x</v>
      </c>
      <c r="K265" s="15">
        <f>( $C265&lt;=$Q$1 )*( $D265 &gt; $Q$1 ) * 1</f>
        <v>1</v>
      </c>
      <c r="L265" s="19"/>
      <c r="N265" s="15" t="s">
        <v>224</v>
      </c>
      <c r="O265" s="19">
        <v>264</v>
      </c>
    </row>
    <row r="266" spans="1:15" x14ac:dyDescent="0.2">
      <c r="A266" s="29" t="s">
        <v>1784</v>
      </c>
      <c r="B266" s="15" t="s">
        <v>1785</v>
      </c>
      <c r="C266" s="15">
        <v>18630811</v>
      </c>
      <c r="D266" s="15">
        <v>19531109</v>
      </c>
      <c r="E266" s="15" t="s">
        <v>2408</v>
      </c>
      <c r="F266" s="27" t="s">
        <v>684</v>
      </c>
      <c r="G266" s="27" t="s">
        <v>184</v>
      </c>
      <c r="H266" s="28" t="s">
        <v>605</v>
      </c>
      <c r="I266" s="15" t="s">
        <v>1786</v>
      </c>
      <c r="J266" s="27" t="str">
        <f>IF( F266 = "Sovereign", "x", "" )</f>
        <v/>
      </c>
      <c r="K266" s="15">
        <f>( $C266&lt;=$Q$1 )*( $D266 &gt; $Q$1 ) * 1</f>
        <v>0</v>
      </c>
      <c r="L266" s="19"/>
      <c r="M266" s="19"/>
      <c r="O266" s="19">
        <v>265</v>
      </c>
    </row>
    <row r="267" spans="1:15" x14ac:dyDescent="0.2">
      <c r="A267" s="29" t="s">
        <v>1786</v>
      </c>
      <c r="B267" s="15" t="s">
        <v>27</v>
      </c>
      <c r="C267" s="15">
        <v>14310101</v>
      </c>
      <c r="D267" s="15">
        <v>18630811</v>
      </c>
      <c r="F267" s="27" t="s">
        <v>683</v>
      </c>
      <c r="H267" s="28" t="s">
        <v>605</v>
      </c>
      <c r="I267" s="15" t="s">
        <v>613</v>
      </c>
      <c r="J267" s="27" t="str">
        <f>IF( F267 = "Sovereign", "x", "" )</f>
        <v>x</v>
      </c>
      <c r="K267" s="15">
        <f>( $C267&lt;=$Q$1 )*( $D267 &gt; $Q$1 ) * 1</f>
        <v>0</v>
      </c>
      <c r="L267" s="19"/>
      <c r="M267" s="19"/>
      <c r="O267" s="19">
        <v>266</v>
      </c>
    </row>
    <row r="268" spans="1:15" x14ac:dyDescent="0.2">
      <c r="A268" s="29" t="s">
        <v>955</v>
      </c>
      <c r="B268" s="15" t="s">
        <v>84</v>
      </c>
      <c r="C268" s="15">
        <v>19531022</v>
      </c>
      <c r="D268" s="15">
        <v>20261231</v>
      </c>
      <c r="F268" s="27" t="s">
        <v>683</v>
      </c>
      <c r="H268" s="28" t="s">
        <v>605</v>
      </c>
      <c r="I268" s="15" t="s">
        <v>1794</v>
      </c>
      <c r="J268" s="27" t="str">
        <f>IF( F268 = "Sovereign", "x", "" )</f>
        <v>x</v>
      </c>
      <c r="K268" s="15">
        <f>( $C268&lt;=$Q$1 )*( $D268 &gt; $Q$1 ) * 1</f>
        <v>1</v>
      </c>
      <c r="L268" s="19"/>
      <c r="N268" s="15" t="s">
        <v>299</v>
      </c>
      <c r="O268" s="19">
        <v>267</v>
      </c>
    </row>
    <row r="269" spans="1:15" x14ac:dyDescent="0.2">
      <c r="A269" s="29" t="s">
        <v>1794</v>
      </c>
      <c r="B269" s="15" t="s">
        <v>1796</v>
      </c>
      <c r="C269" s="15">
        <v>18931003</v>
      </c>
      <c r="D269" s="15">
        <v>19531022</v>
      </c>
      <c r="E269" s="15" t="s">
        <v>2408</v>
      </c>
      <c r="F269" s="27" t="s">
        <v>684</v>
      </c>
      <c r="G269" s="27" t="s">
        <v>184</v>
      </c>
      <c r="H269" s="28" t="s">
        <v>605</v>
      </c>
      <c r="I269" s="15" t="s">
        <v>1795</v>
      </c>
      <c r="J269" s="27" t="str">
        <f>IF( F269 = "Sovereign", "x", "" )</f>
        <v/>
      </c>
      <c r="K269" s="15">
        <f>( $C269&lt;=$Q$1 )*( $D269 &gt; $Q$1 ) * 1</f>
        <v>0</v>
      </c>
      <c r="L269" s="19"/>
      <c r="M269" s="19"/>
      <c r="O269" s="19">
        <v>268</v>
      </c>
    </row>
    <row r="270" spans="1:15" x14ac:dyDescent="0.2">
      <c r="A270" s="29" t="s">
        <v>1795</v>
      </c>
      <c r="B270" s="15" t="s">
        <v>84</v>
      </c>
      <c r="C270" s="15">
        <v>17070101</v>
      </c>
      <c r="D270" s="15">
        <v>18931003</v>
      </c>
      <c r="F270" s="27" t="s">
        <v>683</v>
      </c>
      <c r="H270" s="28" t="s">
        <v>605</v>
      </c>
      <c r="I270" s="15" t="s">
        <v>613</v>
      </c>
      <c r="J270" s="27" t="str">
        <f>IF( F270 = "Sovereign", "x", "" )</f>
        <v>x</v>
      </c>
      <c r="K270" s="15">
        <f>( $C270&lt;=$Q$1 )*( $D270 &gt; $Q$1 ) * 1</f>
        <v>0</v>
      </c>
      <c r="L270" s="19"/>
      <c r="M270" s="19"/>
      <c r="O270" s="19">
        <v>269</v>
      </c>
    </row>
    <row r="271" spans="1:15" x14ac:dyDescent="0.2">
      <c r="A271" s="29" t="s">
        <v>957</v>
      </c>
      <c r="B271" s="15" t="s">
        <v>179</v>
      </c>
      <c r="C271" s="15">
        <v>19760702</v>
      </c>
      <c r="D271" s="15">
        <v>20261231</v>
      </c>
      <c r="F271" s="27" t="s">
        <v>683</v>
      </c>
      <c r="H271" s="28" t="s">
        <v>605</v>
      </c>
      <c r="I271" s="15" t="s">
        <v>1811</v>
      </c>
      <c r="J271" s="27" t="str">
        <f>IF( F271 = "Sovereign", "x", "" )</f>
        <v>x</v>
      </c>
      <c r="K271" s="15">
        <f>( $C271&lt;=$Q$1 )*( $D271 &gt; $Q$1 ) * 1</f>
        <v>1</v>
      </c>
      <c r="L271" s="19"/>
      <c r="N271" s="15" t="s">
        <v>395</v>
      </c>
      <c r="O271" s="19">
        <v>270</v>
      </c>
    </row>
    <row r="272" spans="1:15" x14ac:dyDescent="0.2">
      <c r="A272" s="29" t="s">
        <v>1806</v>
      </c>
      <c r="B272" s="15" t="s">
        <v>1807</v>
      </c>
      <c r="C272" s="15">
        <v>19540721</v>
      </c>
      <c r="D272" s="15">
        <v>19750430</v>
      </c>
      <c r="F272" s="27" t="s">
        <v>683</v>
      </c>
      <c r="H272" s="28" t="s">
        <v>605</v>
      </c>
      <c r="I272" s="15" t="s">
        <v>1804</v>
      </c>
      <c r="J272" s="27" t="str">
        <f>IF( F272 = "Sovereign", "x", "" )</f>
        <v>x</v>
      </c>
      <c r="K272" s="15">
        <f>( $C272&lt;=$Q$1 )*( $D272 &gt; $Q$1 ) * 1</f>
        <v>0</v>
      </c>
      <c r="L272" s="19"/>
      <c r="M272" s="19"/>
      <c r="O272" s="19">
        <v>271</v>
      </c>
    </row>
    <row r="273" spans="1:15" x14ac:dyDescent="0.2">
      <c r="A273" s="29" t="s">
        <v>1805</v>
      </c>
      <c r="B273" s="15" t="s">
        <v>1808</v>
      </c>
      <c r="C273" s="15">
        <v>19540721</v>
      </c>
      <c r="D273" s="15">
        <v>19760702</v>
      </c>
      <c r="F273" s="27" t="s">
        <v>683</v>
      </c>
      <c r="H273" s="28" t="s">
        <v>605</v>
      </c>
      <c r="I273" s="15" t="s">
        <v>1804</v>
      </c>
      <c r="J273" s="27" t="str">
        <f>IF( F273 = "Sovereign", "x", "" )</f>
        <v>x</v>
      </c>
      <c r="K273" s="15">
        <f>( $C273&lt;=$Q$1 )*( $D273 &gt; $Q$1 ) * 1</f>
        <v>0</v>
      </c>
      <c r="L273" s="19"/>
      <c r="M273" s="19"/>
      <c r="O273" s="19">
        <v>272</v>
      </c>
    </row>
    <row r="274" spans="1:15" x14ac:dyDescent="0.2">
      <c r="A274" s="29" t="s">
        <v>1804</v>
      </c>
      <c r="B274" s="15" t="s">
        <v>1809</v>
      </c>
      <c r="C274" s="15">
        <v>18840606</v>
      </c>
      <c r="D274" s="15">
        <v>19540721</v>
      </c>
      <c r="E274" s="15" t="s">
        <v>2408</v>
      </c>
      <c r="F274" s="27" t="s">
        <v>684</v>
      </c>
      <c r="G274" s="27" t="s">
        <v>184</v>
      </c>
      <c r="H274" s="28" t="s">
        <v>605</v>
      </c>
      <c r="I274" s="15" t="s">
        <v>1803</v>
      </c>
      <c r="J274" s="27" t="str">
        <f>IF( F274 = "Sovereign", "x", "" )</f>
        <v/>
      </c>
      <c r="K274" s="15">
        <f>( $C274&lt;=$Q$1 )*( $D274 &gt; $Q$1 ) * 1</f>
        <v>0</v>
      </c>
      <c r="L274" s="19"/>
      <c r="M274" s="19"/>
      <c r="O274" s="19">
        <v>273</v>
      </c>
    </row>
    <row r="275" spans="1:15" x14ac:dyDescent="0.2">
      <c r="A275" s="29" t="s">
        <v>1803</v>
      </c>
      <c r="B275" s="15" t="s">
        <v>1810</v>
      </c>
      <c r="C275" s="15">
        <v>18020601</v>
      </c>
      <c r="D275" s="15">
        <v>18840606</v>
      </c>
      <c r="F275" s="27" t="s">
        <v>683</v>
      </c>
      <c r="H275" s="28" t="s">
        <v>605</v>
      </c>
      <c r="I275" s="15" t="s">
        <v>613</v>
      </c>
      <c r="J275" s="27" t="str">
        <f>IF( F275 = "Sovereign", "x", "" )</f>
        <v>x</v>
      </c>
      <c r="K275" s="15">
        <f>( $C275&lt;=$Q$1 )*( $D275 &gt; $Q$1 ) * 1</f>
        <v>0</v>
      </c>
      <c r="L275" s="19"/>
      <c r="M275" s="19"/>
      <c r="O275" s="19">
        <v>274</v>
      </c>
    </row>
    <row r="276" spans="1:15" x14ac:dyDescent="0.2">
      <c r="A276" s="29" t="s">
        <v>1826</v>
      </c>
      <c r="B276" s="15" t="s">
        <v>33</v>
      </c>
      <c r="C276" s="15">
        <v>16440101</v>
      </c>
      <c r="D276" s="15">
        <v>19491001</v>
      </c>
      <c r="F276" s="27" t="s">
        <v>683</v>
      </c>
      <c r="H276" s="28" t="s">
        <v>605</v>
      </c>
      <c r="I276" s="15" t="s">
        <v>613</v>
      </c>
      <c r="J276" s="27" t="str">
        <f>IF( F276 = "Sovereign", "x", "" )</f>
        <v>x</v>
      </c>
      <c r="K276" s="15">
        <f>( $C276&lt;=$Q$1 )*( $D276 &gt; $Q$1 ) * 1</f>
        <v>0</v>
      </c>
      <c r="L276" s="19"/>
      <c r="N276" s="15" t="s">
        <v>230</v>
      </c>
      <c r="O276" s="19">
        <v>275</v>
      </c>
    </row>
    <row r="277" spans="1:15" x14ac:dyDescent="0.2">
      <c r="A277" s="29" t="s">
        <v>1827</v>
      </c>
      <c r="B277" s="15" t="s">
        <v>1828</v>
      </c>
      <c r="C277" s="15">
        <v>19491001</v>
      </c>
      <c r="D277" s="15">
        <v>20261231</v>
      </c>
      <c r="F277" s="27" t="s">
        <v>683</v>
      </c>
      <c r="H277" s="28" t="s">
        <v>605</v>
      </c>
      <c r="I277" s="15" t="s">
        <v>1826</v>
      </c>
      <c r="J277" s="27" t="str">
        <f>IF( F277 = "Sovereign", "x", "" )</f>
        <v>x</v>
      </c>
      <c r="K277" s="15">
        <f>( $C277&lt;=$Q$1 )*( $D277 &gt; $Q$1 ) * 1</f>
        <v>1</v>
      </c>
      <c r="L277" s="19"/>
      <c r="M277" s="19"/>
      <c r="O277" s="19">
        <v>276</v>
      </c>
    </row>
    <row r="278" spans="1:15" x14ac:dyDescent="0.2">
      <c r="A278" s="29" t="s">
        <v>956</v>
      </c>
      <c r="B278" s="15" t="s">
        <v>159</v>
      </c>
      <c r="C278" s="15">
        <v>19491001</v>
      </c>
      <c r="D278" s="15">
        <v>20261231</v>
      </c>
      <c r="F278" s="27" t="s">
        <v>683</v>
      </c>
      <c r="H278" s="28" t="s">
        <v>605</v>
      </c>
      <c r="I278" s="15" t="s">
        <v>1826</v>
      </c>
      <c r="J278" s="27" t="str">
        <f>IF( F278 = "Sovereign", "x", "" )</f>
        <v>x</v>
      </c>
      <c r="K278" s="15">
        <f>( $C278&lt;=$Q$1 )*( $D278 &gt; $Q$1 ) * 1</f>
        <v>1</v>
      </c>
      <c r="L278" s="19"/>
      <c r="N278" s="15" t="s">
        <v>372</v>
      </c>
      <c r="O278" s="19">
        <v>277</v>
      </c>
    </row>
    <row r="279" spans="1:15" x14ac:dyDescent="0.2">
      <c r="A279" s="29" t="s">
        <v>1835</v>
      </c>
      <c r="B279" s="15" t="s">
        <v>76</v>
      </c>
      <c r="C279" s="15">
        <v>16030101</v>
      </c>
      <c r="D279" s="15">
        <v>20261231</v>
      </c>
      <c r="E279" s="15" t="s">
        <v>2413</v>
      </c>
      <c r="F279" s="27" t="s">
        <v>683</v>
      </c>
      <c r="H279" s="28" t="s">
        <v>605</v>
      </c>
      <c r="I279" s="15" t="s">
        <v>613</v>
      </c>
      <c r="J279" s="27" t="str">
        <f>IF( F279 = "Sovereign", "x", "" )</f>
        <v>x</v>
      </c>
      <c r="K279" s="15">
        <f>( $C279&lt;=$Q$1 )*( $D279 &gt; $Q$1 ) * 1</f>
        <v>1</v>
      </c>
      <c r="L279" s="19"/>
      <c r="N279" s="15" t="s">
        <v>290</v>
      </c>
      <c r="O279" s="19">
        <v>278</v>
      </c>
    </row>
    <row r="280" spans="1:15" x14ac:dyDescent="0.2">
      <c r="A280" s="29" t="s">
        <v>2368</v>
      </c>
      <c r="B280" s="15" t="s">
        <v>150</v>
      </c>
      <c r="C280" s="15">
        <v>19450815</v>
      </c>
      <c r="D280" s="15">
        <v>20261231</v>
      </c>
      <c r="F280" s="27" t="s">
        <v>683</v>
      </c>
      <c r="H280" s="28" t="s">
        <v>605</v>
      </c>
      <c r="I280" s="15" t="s">
        <v>1842</v>
      </c>
      <c r="J280" s="27" t="str">
        <f>IF( F280 = "Sovereign", "x", "" )</f>
        <v>x</v>
      </c>
      <c r="K280" s="15">
        <f>( $C280&lt;=$Q$1 )*( $D280 &gt; $Q$1 ) * 1</f>
        <v>1</v>
      </c>
      <c r="L280" s="19"/>
      <c r="N280" s="15" t="s">
        <v>363</v>
      </c>
      <c r="O280" s="19">
        <v>279</v>
      </c>
    </row>
    <row r="281" spans="1:15" x14ac:dyDescent="0.2">
      <c r="A281" s="29" t="s">
        <v>2369</v>
      </c>
      <c r="B281" s="15" t="s">
        <v>117</v>
      </c>
      <c r="C281" s="15">
        <v>19450815</v>
      </c>
      <c r="D281" s="15">
        <v>20261231</v>
      </c>
      <c r="F281" s="27" t="s">
        <v>683</v>
      </c>
      <c r="H281" s="28" t="s">
        <v>605</v>
      </c>
      <c r="I281" s="15" t="s">
        <v>1842</v>
      </c>
      <c r="J281" s="27" t="str">
        <f>IF( F281 = "Sovereign", "x", "" )</f>
        <v>x</v>
      </c>
      <c r="K281" s="15">
        <f>( $C281&lt;=$Q$1 )*( $D281 &gt; $Q$1 ) * 1</f>
        <v>1</v>
      </c>
      <c r="L281" s="19"/>
      <c r="N281" s="15" t="s">
        <v>331</v>
      </c>
      <c r="O281" s="19">
        <v>280</v>
      </c>
    </row>
    <row r="282" spans="1:15" x14ac:dyDescent="0.2">
      <c r="A282" s="29" t="s">
        <v>1842</v>
      </c>
      <c r="B282" s="15" t="s">
        <v>1844</v>
      </c>
      <c r="C282" s="15">
        <v>19100829</v>
      </c>
      <c r="D282" s="15">
        <v>19450815</v>
      </c>
      <c r="E282" s="15" t="s">
        <v>2414</v>
      </c>
      <c r="F282" s="27" t="s">
        <v>684</v>
      </c>
      <c r="G282" s="27" t="s">
        <v>76</v>
      </c>
      <c r="H282" s="28" t="s">
        <v>605</v>
      </c>
      <c r="I282" s="15" t="s">
        <v>1843</v>
      </c>
      <c r="J282" s="27" t="str">
        <f>IF( F282 = "Sovereign", "x", "" )</f>
        <v/>
      </c>
      <c r="K282" s="15">
        <f>( $C282&lt;=$Q$1 )*( $D282 &gt; $Q$1 ) * 1</f>
        <v>0</v>
      </c>
      <c r="L282" s="19"/>
      <c r="M282" s="19"/>
      <c r="O282" s="19">
        <v>281</v>
      </c>
    </row>
    <row r="283" spans="1:15" x14ac:dyDescent="0.2">
      <c r="A283" s="29" t="s">
        <v>1843</v>
      </c>
      <c r="B283" s="15" t="s">
        <v>1846</v>
      </c>
      <c r="C283" s="15">
        <v>13920805</v>
      </c>
      <c r="D283" s="15">
        <v>19100829</v>
      </c>
      <c r="F283" s="27" t="s">
        <v>683</v>
      </c>
      <c r="H283" s="28" t="s">
        <v>605</v>
      </c>
      <c r="I283" s="15" t="s">
        <v>613</v>
      </c>
      <c r="J283" s="27" t="str">
        <f>IF( F283 = "Sovereign", "x", "" )</f>
        <v>x</v>
      </c>
      <c r="K283" s="15">
        <f>( $C283&lt;=$Q$1 )*( $D283 &gt; $Q$1 ) * 1</f>
        <v>0</v>
      </c>
      <c r="L283" s="19"/>
      <c r="M283" s="19"/>
      <c r="O283" s="19">
        <v>282</v>
      </c>
    </row>
    <row r="284" spans="1:15" x14ac:dyDescent="0.2">
      <c r="A284" s="29" t="s">
        <v>1853</v>
      </c>
      <c r="B284" s="15" t="s">
        <v>105</v>
      </c>
      <c r="C284" s="15">
        <v>19111229</v>
      </c>
      <c r="D284" s="15">
        <v>20261231</v>
      </c>
      <c r="F284" s="27" t="s">
        <v>683</v>
      </c>
      <c r="H284" s="28" t="s">
        <v>605</v>
      </c>
      <c r="I284" s="15" t="s">
        <v>1854</v>
      </c>
      <c r="J284" s="27" t="str">
        <f>IF( F284 = "Sovereign", "x", "" )</f>
        <v>x</v>
      </c>
      <c r="K284" s="15">
        <f>( $C284&lt;=$Q$1 )*( $D284 &gt; $Q$1 ) * 1</f>
        <v>1</v>
      </c>
      <c r="L284" s="19"/>
      <c r="N284" s="15" t="s">
        <v>318</v>
      </c>
      <c r="O284" s="19">
        <v>283</v>
      </c>
    </row>
    <row r="285" spans="1:15" x14ac:dyDescent="0.2">
      <c r="A285" s="29" t="s">
        <v>1854</v>
      </c>
      <c r="B285" s="15" t="s">
        <v>1855</v>
      </c>
      <c r="C285" s="15">
        <v>16910101</v>
      </c>
      <c r="D285" s="15">
        <v>19111229</v>
      </c>
      <c r="F285" s="27" t="s">
        <v>684</v>
      </c>
      <c r="G285" s="27" t="s">
        <v>33</v>
      </c>
      <c r="H285" s="28" t="s">
        <v>605</v>
      </c>
      <c r="I285" s="15" t="s">
        <v>613</v>
      </c>
      <c r="J285" s="27" t="str">
        <f>IF( F285 = "Sovereign", "x", "" )</f>
        <v/>
      </c>
      <c r="K285" s="15">
        <f>( $C285&lt;=$Q$1 )*( $D285 &gt; $Q$1 ) * 1</f>
        <v>0</v>
      </c>
      <c r="L285" s="19"/>
      <c r="M285" s="19"/>
      <c r="O285" s="19">
        <v>284</v>
      </c>
    </row>
    <row r="286" spans="1:15" x14ac:dyDescent="0.2">
      <c r="A286" s="29" t="s">
        <v>950</v>
      </c>
      <c r="B286" s="15" t="s">
        <v>83</v>
      </c>
      <c r="C286" s="15">
        <v>19910831</v>
      </c>
      <c r="D286" s="15">
        <v>20261231</v>
      </c>
      <c r="F286" s="27" t="s">
        <v>683</v>
      </c>
      <c r="H286" s="28" t="s">
        <v>605</v>
      </c>
      <c r="I286" s="15" t="s">
        <v>1877</v>
      </c>
      <c r="J286" s="27" t="str">
        <f>IF( F286 = "Sovereign", "x", "" )</f>
        <v>x</v>
      </c>
      <c r="K286" s="15">
        <f>( $C286&lt;=$Q$1 )*( $D286 &gt; $Q$1 ) * 1</f>
        <v>1</v>
      </c>
      <c r="L286" s="19"/>
      <c r="N286" s="15" t="s">
        <v>298</v>
      </c>
      <c r="O286" s="19">
        <v>285</v>
      </c>
    </row>
    <row r="287" spans="1:15" x14ac:dyDescent="0.2">
      <c r="A287" s="29" t="s">
        <v>953</v>
      </c>
      <c r="B287" s="15" t="s">
        <v>160</v>
      </c>
      <c r="C287" s="15">
        <v>19910909</v>
      </c>
      <c r="D287" s="15">
        <v>20261231</v>
      </c>
      <c r="F287" s="27" t="s">
        <v>683</v>
      </c>
      <c r="H287" s="28" t="s">
        <v>605</v>
      </c>
      <c r="I287" s="15" t="s">
        <v>1877</v>
      </c>
      <c r="J287" s="27" t="str">
        <f>IF( F287 = "Sovereign", "x", "" )</f>
        <v>x</v>
      </c>
      <c r="K287" s="15">
        <f>( $C287&lt;=$Q$1 )*( $D287 &gt; $Q$1 ) * 1</f>
        <v>1</v>
      </c>
      <c r="L287" s="19"/>
      <c r="N287" s="15" t="s">
        <v>373</v>
      </c>
      <c r="O287" s="19">
        <v>286</v>
      </c>
    </row>
    <row r="288" spans="1:15" x14ac:dyDescent="0.2">
      <c r="A288" s="29" t="s">
        <v>958</v>
      </c>
      <c r="B288" s="15" t="s">
        <v>175</v>
      </c>
      <c r="C288" s="15">
        <v>19910901</v>
      </c>
      <c r="D288" s="15">
        <v>20261231</v>
      </c>
      <c r="F288" s="27" t="s">
        <v>683</v>
      </c>
      <c r="H288" s="28" t="s">
        <v>605</v>
      </c>
      <c r="I288" s="15" t="s">
        <v>1877</v>
      </c>
      <c r="J288" s="27" t="str">
        <f>IF( F288 = "Sovereign", "x", "" )</f>
        <v>x</v>
      </c>
      <c r="K288" s="15">
        <f>( $C288&lt;=$Q$1 )*( $D288 &gt; $Q$1 ) * 1</f>
        <v>1</v>
      </c>
      <c r="L288" s="19"/>
      <c r="N288" s="15" t="s">
        <v>392</v>
      </c>
      <c r="O288" s="19">
        <v>287</v>
      </c>
    </row>
    <row r="289" spans="1:15" x14ac:dyDescent="0.2">
      <c r="A289" s="29" t="s">
        <v>951</v>
      </c>
      <c r="B289" s="15" t="s">
        <v>168</v>
      </c>
      <c r="C289" s="15">
        <v>19900820</v>
      </c>
      <c r="D289" s="15">
        <v>20261231</v>
      </c>
      <c r="F289" s="27" t="s">
        <v>683</v>
      </c>
      <c r="H289" s="28" t="s">
        <v>605</v>
      </c>
      <c r="I289" s="15" t="s">
        <v>1877</v>
      </c>
      <c r="J289" s="27" t="str">
        <f>IF( F289 = "Sovereign", "x", "" )</f>
        <v>x</v>
      </c>
      <c r="K289" s="15">
        <f>( $C289&lt;=$Q$1 )*( $D289 &gt; $Q$1 ) * 1</f>
        <v>1</v>
      </c>
      <c r="L289" s="19"/>
      <c r="N289" s="15" t="s">
        <v>383</v>
      </c>
      <c r="O289" s="19">
        <v>288</v>
      </c>
    </row>
    <row r="290" spans="1:15" x14ac:dyDescent="0.2">
      <c r="A290" s="29" t="s">
        <v>959</v>
      </c>
      <c r="B290" s="15" t="s">
        <v>78</v>
      </c>
      <c r="C290" s="15">
        <v>19911216</v>
      </c>
      <c r="D290" s="15">
        <v>20261231</v>
      </c>
      <c r="F290" s="27" t="s">
        <v>683</v>
      </c>
      <c r="H290" s="28" t="s">
        <v>605</v>
      </c>
      <c r="I290" s="15" t="s">
        <v>1877</v>
      </c>
      <c r="J290" s="27" t="str">
        <f>IF( F290 = "Sovereign", "x", "" )</f>
        <v>x</v>
      </c>
      <c r="K290" s="15">
        <f>( $C290&lt;=$Q$1 )*( $D290 &gt; $Q$1 ) * 1</f>
        <v>1</v>
      </c>
      <c r="L290" s="19"/>
      <c r="N290" s="15" t="s">
        <v>292</v>
      </c>
      <c r="O290" s="19">
        <v>289</v>
      </c>
    </row>
    <row r="291" spans="1:15" x14ac:dyDescent="0.2">
      <c r="A291" s="29" t="s">
        <v>946</v>
      </c>
      <c r="B291" s="15" t="s">
        <v>10</v>
      </c>
      <c r="C291" s="15">
        <v>19911018</v>
      </c>
      <c r="D291" s="15">
        <v>20261231</v>
      </c>
      <c r="F291" s="27" t="s">
        <v>683</v>
      </c>
      <c r="H291" s="28" t="s">
        <v>605</v>
      </c>
      <c r="I291" s="15" t="s">
        <v>1877</v>
      </c>
      <c r="J291" s="27" t="str">
        <f>IF( F291 = "Sovereign", "x", "" )</f>
        <v>x</v>
      </c>
      <c r="K291" s="15">
        <f>( $C291&lt;=$Q$1 )*( $D291 &gt; $Q$1 ) * 1</f>
        <v>1</v>
      </c>
      <c r="L291" s="19"/>
      <c r="N291" s="15" t="s">
        <v>201</v>
      </c>
      <c r="O291" s="19">
        <v>290</v>
      </c>
    </row>
    <row r="292" spans="1:15" x14ac:dyDescent="0.2">
      <c r="A292" s="29" t="s">
        <v>941</v>
      </c>
      <c r="B292" s="15" t="s">
        <v>7</v>
      </c>
      <c r="C292" s="15">
        <v>19910923</v>
      </c>
      <c r="D292" s="15">
        <v>20261231</v>
      </c>
      <c r="F292" s="27" t="s">
        <v>683</v>
      </c>
      <c r="H292" s="28" t="s">
        <v>605</v>
      </c>
      <c r="I292" s="15" t="s">
        <v>1877</v>
      </c>
      <c r="J292" s="27" t="str">
        <f>IF( F292 = "Sovereign", "x", "" )</f>
        <v>x</v>
      </c>
      <c r="K292" s="15">
        <f>( $C292&lt;=$Q$1 )*( $D292 &gt; $Q$1 ) * 1</f>
        <v>1</v>
      </c>
      <c r="L292" s="19"/>
      <c r="N292" s="15" t="s">
        <v>198</v>
      </c>
      <c r="O292" s="19">
        <v>291</v>
      </c>
    </row>
    <row r="293" spans="1:15" x14ac:dyDescent="0.2">
      <c r="A293" s="29" t="s">
        <v>944</v>
      </c>
      <c r="B293" s="15" t="s">
        <v>192</v>
      </c>
      <c r="C293" s="15">
        <v>19910409</v>
      </c>
      <c r="D293" s="15">
        <v>20261231</v>
      </c>
      <c r="F293" s="27" t="s">
        <v>683</v>
      </c>
      <c r="H293" s="28" t="s">
        <v>605</v>
      </c>
      <c r="I293" s="15" t="s">
        <v>1877</v>
      </c>
      <c r="J293" s="27" t="str">
        <f>IF( F293 = "Sovereign", "x", "" )</f>
        <v>x</v>
      </c>
      <c r="K293" s="15">
        <f>( $C293&lt;=$Q$1 )*( $D293 &gt; $Q$1 ) * 1</f>
        <v>1</v>
      </c>
      <c r="L293" s="19"/>
      <c r="N293" s="15" t="s">
        <v>260</v>
      </c>
      <c r="O293" s="19">
        <v>292</v>
      </c>
    </row>
    <row r="294" spans="1:15" x14ac:dyDescent="0.2">
      <c r="A294" s="29" t="s">
        <v>991</v>
      </c>
      <c r="B294" s="15" t="s">
        <v>171</v>
      </c>
      <c r="C294" s="15">
        <v>19910824</v>
      </c>
      <c r="D294" s="15">
        <v>20261231</v>
      </c>
      <c r="F294" s="27" t="s">
        <v>683</v>
      </c>
      <c r="H294" s="28" t="s">
        <v>606</v>
      </c>
      <c r="I294" s="15" t="s">
        <v>1877</v>
      </c>
      <c r="J294" s="27" t="str">
        <f>IF( F294 = "Sovereign", "x", "" )</f>
        <v>x</v>
      </c>
      <c r="K294" s="15">
        <f>( $C294&lt;=$Q$1 )*( $D294 &gt; $Q$1 ) * 1</f>
        <v>1</v>
      </c>
      <c r="L294" s="19"/>
      <c r="N294" s="15" t="s">
        <v>386</v>
      </c>
      <c r="O294" s="19">
        <v>293</v>
      </c>
    </row>
    <row r="295" spans="1:15" x14ac:dyDescent="0.2">
      <c r="A295" s="29" t="s">
        <v>987</v>
      </c>
      <c r="B295" s="15" t="s">
        <v>132</v>
      </c>
      <c r="C295" s="15">
        <v>19911226</v>
      </c>
      <c r="D295" s="15">
        <v>20261231</v>
      </c>
      <c r="F295" s="27" t="s">
        <v>683</v>
      </c>
      <c r="H295" s="28" t="s">
        <v>606</v>
      </c>
      <c r="I295" s="15" t="s">
        <v>1877</v>
      </c>
      <c r="J295" s="27" t="str">
        <f>IF( F295 = "Sovereign", "x", "" )</f>
        <v>x</v>
      </c>
      <c r="K295" s="15">
        <f>( $C295&lt;=$Q$1 )*( $D295 &gt; $Q$1 ) * 1</f>
        <v>1</v>
      </c>
      <c r="L295" s="19"/>
      <c r="N295" s="15" t="s">
        <v>347</v>
      </c>
      <c r="O295" s="19">
        <v>294</v>
      </c>
    </row>
    <row r="296" spans="1:15" x14ac:dyDescent="0.2">
      <c r="A296" s="29" t="s">
        <v>1877</v>
      </c>
      <c r="B296" s="15" t="s">
        <v>1880</v>
      </c>
      <c r="C296" s="15">
        <v>19221230</v>
      </c>
      <c r="D296" s="15">
        <v>19911226</v>
      </c>
      <c r="F296" s="27" t="s">
        <v>683</v>
      </c>
      <c r="H296" s="28" t="s">
        <v>606</v>
      </c>
      <c r="I296" s="15" t="s">
        <v>1896</v>
      </c>
      <c r="J296" s="27" t="str">
        <f>IF( F296 = "Sovereign", "x", "" )</f>
        <v>x</v>
      </c>
      <c r="K296" s="15">
        <f>( $C296&lt;=$Q$1 )*( $D296 &gt; $Q$1 ) * 1</f>
        <v>0</v>
      </c>
      <c r="L296" s="19"/>
      <c r="M296" s="19"/>
      <c r="O296" s="19">
        <v>295</v>
      </c>
    </row>
    <row r="297" spans="1:15" x14ac:dyDescent="0.2">
      <c r="A297" s="29" t="s">
        <v>1885</v>
      </c>
      <c r="B297" s="15" t="s">
        <v>1886</v>
      </c>
      <c r="C297" s="15">
        <v>19171107</v>
      </c>
      <c r="D297" s="15">
        <v>19221230</v>
      </c>
      <c r="F297" s="27" t="s">
        <v>683</v>
      </c>
      <c r="H297" s="28" t="s">
        <v>606</v>
      </c>
      <c r="I297" s="15" t="s">
        <v>1878</v>
      </c>
      <c r="J297" s="27" t="str">
        <f>IF( F297 = "Sovereign", "x", "" )</f>
        <v>x</v>
      </c>
      <c r="K297" s="15">
        <f>( $C297&lt;=$Q$1 )*( $D297 &gt; $Q$1 ) * 1</f>
        <v>0</v>
      </c>
      <c r="L297" s="19"/>
      <c r="M297" s="19"/>
      <c r="O297" s="19">
        <v>296</v>
      </c>
    </row>
    <row r="298" spans="1:15" x14ac:dyDescent="0.2">
      <c r="A298" s="29" t="s">
        <v>1878</v>
      </c>
      <c r="B298" s="15" t="s">
        <v>1879</v>
      </c>
      <c r="C298" s="15">
        <v>17210910</v>
      </c>
      <c r="D298" s="15">
        <v>19171107</v>
      </c>
      <c r="F298" s="27" t="s">
        <v>683</v>
      </c>
      <c r="H298" s="28" t="s">
        <v>606</v>
      </c>
      <c r="I298" s="15" t="s">
        <v>613</v>
      </c>
      <c r="J298" s="27" t="str">
        <f>IF( F298 = "Sovereign", "x", "" )</f>
        <v>x</v>
      </c>
      <c r="K298" s="15">
        <f>( $C298&lt;=$Q$1 )*( $D298 &gt; $Q$1 ) * 1</f>
        <v>0</v>
      </c>
      <c r="L298" s="19"/>
      <c r="M298" s="19"/>
      <c r="O298" s="19">
        <v>297</v>
      </c>
    </row>
    <row r="299" spans="1:15" x14ac:dyDescent="0.2">
      <c r="A299" s="29" t="s">
        <v>974</v>
      </c>
      <c r="B299" s="15" t="s">
        <v>14</v>
      </c>
      <c r="C299" s="15">
        <v>19910825</v>
      </c>
      <c r="D299" s="15">
        <v>20261231</v>
      </c>
      <c r="F299" s="27" t="s">
        <v>683</v>
      </c>
      <c r="H299" s="28" t="s">
        <v>606</v>
      </c>
      <c r="I299" s="15" t="s">
        <v>1877</v>
      </c>
      <c r="J299" s="27" t="str">
        <f>IF( F299 = "Sovereign", "x", "" )</f>
        <v>x</v>
      </c>
      <c r="K299" s="15">
        <f>( $C299&lt;=$Q$1 )*( $D299 &gt; $Q$1 ) * 1</f>
        <v>1</v>
      </c>
      <c r="L299" s="19"/>
      <c r="N299" s="15" t="s">
        <v>205</v>
      </c>
      <c r="O299" s="19">
        <v>298</v>
      </c>
    </row>
    <row r="300" spans="1:15" x14ac:dyDescent="0.2">
      <c r="A300" s="29" t="s">
        <v>970</v>
      </c>
      <c r="B300" s="15" t="s">
        <v>51</v>
      </c>
      <c r="C300" s="15">
        <v>19910820</v>
      </c>
      <c r="D300" s="15">
        <v>20261231</v>
      </c>
      <c r="F300" s="27" t="s">
        <v>683</v>
      </c>
      <c r="H300" s="28" t="s">
        <v>606</v>
      </c>
      <c r="I300" s="15" t="s">
        <v>1877</v>
      </c>
      <c r="J300" s="27" t="str">
        <f>IF( F300 = "Sovereign", "x", "" )</f>
        <v>x</v>
      </c>
      <c r="K300" s="15">
        <f>( $C300&lt;=$Q$1 )*( $D300 &gt; $Q$1 ) * 1</f>
        <v>1</v>
      </c>
      <c r="L300" s="19"/>
      <c r="N300" s="15" t="s">
        <v>252</v>
      </c>
      <c r="O300" s="19">
        <v>299</v>
      </c>
    </row>
    <row r="301" spans="1:15" x14ac:dyDescent="0.2">
      <c r="A301" s="29" t="s">
        <v>1891</v>
      </c>
      <c r="B301" s="15" t="s">
        <v>51</v>
      </c>
      <c r="C301" s="15">
        <v>19180224</v>
      </c>
      <c r="D301" s="15">
        <v>19400617</v>
      </c>
      <c r="F301" s="27" t="s">
        <v>683</v>
      </c>
      <c r="H301" s="28" t="s">
        <v>606</v>
      </c>
      <c r="I301" s="15" t="s">
        <v>1885</v>
      </c>
      <c r="J301" s="27" t="str">
        <f>IF( F301 = "Sovereign", "x", "" )</f>
        <v>x</v>
      </c>
      <c r="K301" s="15">
        <f>( $C301&lt;=$Q$1 )*( $D301 &gt; $Q$1 ) * 1</f>
        <v>0</v>
      </c>
      <c r="L301" s="19"/>
      <c r="M301" s="19"/>
      <c r="O301" s="19">
        <v>300</v>
      </c>
    </row>
    <row r="302" spans="1:15" x14ac:dyDescent="0.2">
      <c r="A302" s="29" t="s">
        <v>971</v>
      </c>
      <c r="B302" s="15" t="s">
        <v>85</v>
      </c>
      <c r="C302" s="15">
        <v>19910821</v>
      </c>
      <c r="D302" s="15">
        <v>20261231</v>
      </c>
      <c r="F302" s="27" t="s">
        <v>683</v>
      </c>
      <c r="H302" s="28" t="s">
        <v>606</v>
      </c>
      <c r="I302" s="15" t="s">
        <v>1877</v>
      </c>
      <c r="J302" s="27" t="str">
        <f>IF( F302 = "Sovereign", "x", "" )</f>
        <v>x</v>
      </c>
      <c r="K302" s="15">
        <f>( $C302&lt;=$Q$1 )*( $D302 &gt; $Q$1 ) * 1</f>
        <v>1</v>
      </c>
      <c r="L302" s="19"/>
      <c r="N302" s="15" t="s">
        <v>300</v>
      </c>
      <c r="O302" s="19">
        <v>301</v>
      </c>
    </row>
    <row r="303" spans="1:15" x14ac:dyDescent="0.2">
      <c r="A303" s="29" t="s">
        <v>1894</v>
      </c>
      <c r="B303" s="15" t="s">
        <v>85</v>
      </c>
      <c r="C303" s="15">
        <v>19181118</v>
      </c>
      <c r="D303" s="15">
        <v>19400617</v>
      </c>
      <c r="F303" s="27" t="s">
        <v>683</v>
      </c>
      <c r="H303" s="28" t="s">
        <v>606</v>
      </c>
      <c r="I303" s="15" t="s">
        <v>1885</v>
      </c>
      <c r="J303" s="27" t="str">
        <f>IF( F303 = "Sovereign", "x", "" )</f>
        <v>x</v>
      </c>
      <c r="K303" s="15">
        <f>( $C303&lt;=$Q$1 )*( $D303 &gt; $Q$1 ) * 1</f>
        <v>0</v>
      </c>
      <c r="L303" s="19"/>
      <c r="M303" s="19"/>
      <c r="O303" s="19">
        <v>302</v>
      </c>
    </row>
    <row r="304" spans="1:15" x14ac:dyDescent="0.2">
      <c r="A304" s="29" t="s">
        <v>1895</v>
      </c>
      <c r="B304" s="15" t="s">
        <v>91</v>
      </c>
      <c r="C304" s="15">
        <v>19180216</v>
      </c>
      <c r="D304" s="15">
        <v>19400617</v>
      </c>
      <c r="F304" s="27" t="s">
        <v>683</v>
      </c>
      <c r="H304" s="28" t="s">
        <v>606</v>
      </c>
      <c r="I304" s="15" t="s">
        <v>1885</v>
      </c>
      <c r="J304" s="27" t="str">
        <f>IF( F304 = "Sovereign", "x", "" )</f>
        <v>x</v>
      </c>
      <c r="K304" s="15">
        <f>( $C304&lt;=$Q$1 )*( $D304 &gt; $Q$1 ) * 1</f>
        <v>0</v>
      </c>
      <c r="L304" s="19"/>
      <c r="M304" s="19"/>
      <c r="O304" s="19">
        <v>303</v>
      </c>
    </row>
    <row r="305" spans="1:15" x14ac:dyDescent="0.2">
      <c r="A305" s="29" t="s">
        <v>975</v>
      </c>
      <c r="B305" s="15" t="s">
        <v>91</v>
      </c>
      <c r="C305" s="15">
        <v>19900311</v>
      </c>
      <c r="D305" s="15">
        <v>20261231</v>
      </c>
      <c r="F305" s="27" t="s">
        <v>683</v>
      </c>
      <c r="H305" s="28" t="s">
        <v>606</v>
      </c>
      <c r="I305" s="15" t="s">
        <v>1877</v>
      </c>
      <c r="J305" s="27" t="str">
        <f>IF( F305 = "Sovereign", "x", "" )</f>
        <v>x</v>
      </c>
      <c r="K305" s="15">
        <f>( $C305&lt;=$Q$1 )*( $D305 &gt; $Q$1 ) * 1</f>
        <v>1</v>
      </c>
      <c r="L305" s="19"/>
      <c r="N305" s="15" t="s">
        <v>306</v>
      </c>
      <c r="O305" s="19">
        <v>304</v>
      </c>
    </row>
    <row r="306" spans="1:15" x14ac:dyDescent="0.2">
      <c r="A306" s="29" t="s">
        <v>2370</v>
      </c>
      <c r="B306" s="15" t="s">
        <v>127</v>
      </c>
      <c r="C306" s="15">
        <v>19440722</v>
      </c>
      <c r="D306" s="15">
        <v>20261231</v>
      </c>
      <c r="F306" s="27" t="s">
        <v>683</v>
      </c>
      <c r="H306" s="28" t="s">
        <v>606</v>
      </c>
      <c r="I306" s="15" t="s">
        <v>994</v>
      </c>
      <c r="J306" s="27" t="str">
        <f>IF( F306 = "Sovereign", "x", "" )</f>
        <v>x</v>
      </c>
      <c r="K306" s="15">
        <f>( $C306&lt;=$Q$1 )*( $D306 &gt; $Q$1 ) * 1</f>
        <v>1</v>
      </c>
      <c r="L306" s="19"/>
      <c r="N306" s="15" t="s">
        <v>342</v>
      </c>
      <c r="O306" s="19">
        <v>305</v>
      </c>
    </row>
    <row r="307" spans="1:15" x14ac:dyDescent="0.2">
      <c r="A307" s="29" t="s">
        <v>1904</v>
      </c>
      <c r="B307" s="15" t="s">
        <v>127</v>
      </c>
      <c r="C307" s="15">
        <v>19181111</v>
      </c>
      <c r="D307" s="15">
        <v>19390917</v>
      </c>
      <c r="F307" s="27" t="s">
        <v>683</v>
      </c>
      <c r="H307" s="28" t="s">
        <v>606</v>
      </c>
      <c r="I307" s="15" t="s">
        <v>1903</v>
      </c>
      <c r="J307" s="27" t="str">
        <f>IF( F307 = "Sovereign", "x", "" )</f>
        <v>x</v>
      </c>
      <c r="K307" s="15">
        <f>( $C307&lt;=$Q$1 )*( $D307 &gt; $Q$1 ) * 1</f>
        <v>0</v>
      </c>
      <c r="L307" s="19"/>
      <c r="M307" s="19"/>
      <c r="O307" s="19">
        <v>306</v>
      </c>
    </row>
    <row r="308" spans="1:15" x14ac:dyDescent="0.2">
      <c r="A308" s="29" t="s">
        <v>983</v>
      </c>
      <c r="B308" s="15" t="s">
        <v>39</v>
      </c>
      <c r="C308" s="15">
        <v>19930101</v>
      </c>
      <c r="D308" s="15">
        <v>20261231</v>
      </c>
      <c r="F308" s="27" t="s">
        <v>683</v>
      </c>
      <c r="H308" s="28" t="s">
        <v>606</v>
      </c>
      <c r="I308" s="15" t="s">
        <v>1908</v>
      </c>
      <c r="J308" s="27" t="str">
        <f>IF( F308 = "Sovereign", "x", "" )</f>
        <v>x</v>
      </c>
      <c r="K308" s="15">
        <f>( $C308&lt;=$Q$1 )*( $D308 &gt; $Q$1 ) * 1</f>
        <v>1</v>
      </c>
      <c r="L308" s="19"/>
      <c r="N308" s="15" t="s">
        <v>240</v>
      </c>
      <c r="O308" s="19">
        <v>307</v>
      </c>
    </row>
    <row r="309" spans="1:15" x14ac:dyDescent="0.2">
      <c r="A309" s="29" t="s">
        <v>1906</v>
      </c>
      <c r="B309" s="15" t="s">
        <v>1907</v>
      </c>
      <c r="C309" s="15">
        <v>19181018</v>
      </c>
      <c r="D309" s="15">
        <v>19380930</v>
      </c>
      <c r="F309" s="27" t="s">
        <v>683</v>
      </c>
      <c r="H309" s="28" t="s">
        <v>606</v>
      </c>
      <c r="I309" s="15" t="s">
        <v>1960</v>
      </c>
      <c r="J309" s="27" t="str">
        <f>IF( F309 = "Sovereign", "x", "" )</f>
        <v>x</v>
      </c>
      <c r="K309" s="15">
        <f>( $C309&lt;=$Q$1 )*( $D309 &gt; $Q$1 ) * 1</f>
        <v>0</v>
      </c>
      <c r="L309" s="19"/>
      <c r="M309" s="19"/>
      <c r="O309" s="19">
        <v>308</v>
      </c>
    </row>
    <row r="310" spans="1:15" x14ac:dyDescent="0.2">
      <c r="A310" s="29" t="s">
        <v>1908</v>
      </c>
      <c r="B310" s="15" t="s">
        <v>1907</v>
      </c>
      <c r="C310" s="15">
        <v>19450508</v>
      </c>
      <c r="D310" s="15">
        <v>19930101</v>
      </c>
      <c r="F310" s="27" t="s">
        <v>683</v>
      </c>
      <c r="H310" s="28" t="s">
        <v>606</v>
      </c>
      <c r="I310" s="15" t="s">
        <v>994</v>
      </c>
      <c r="J310" s="27" t="str">
        <f>IF( F310 = "Sovereign", "x", "" )</f>
        <v>x</v>
      </c>
      <c r="K310" s="15">
        <f>( $C310&lt;=$Q$1 )*( $D310 &gt; $Q$1 ) * 1</f>
        <v>0</v>
      </c>
      <c r="L310" s="19"/>
      <c r="M310" s="19"/>
      <c r="O310" s="19">
        <v>309</v>
      </c>
    </row>
    <row r="311" spans="1:15" x14ac:dyDescent="0.2">
      <c r="A311" s="29" t="s">
        <v>988</v>
      </c>
      <c r="B311" s="15" t="s">
        <v>145</v>
      </c>
      <c r="C311" s="15">
        <v>19930101</v>
      </c>
      <c r="D311" s="15">
        <v>20261231</v>
      </c>
      <c r="F311" s="27" t="s">
        <v>683</v>
      </c>
      <c r="H311" s="28" t="s">
        <v>606</v>
      </c>
      <c r="I311" s="15" t="s">
        <v>1908</v>
      </c>
      <c r="J311" s="27" t="str">
        <f>IF( F311 = "Sovereign", "x", "" )</f>
        <v>x</v>
      </c>
      <c r="K311" s="15">
        <f>( $C311&lt;=$Q$1 )*( $D311 &gt; $Q$1 ) * 1</f>
        <v>1</v>
      </c>
      <c r="L311" s="19"/>
      <c r="N311" s="15" t="s">
        <v>358</v>
      </c>
      <c r="O311" s="19">
        <v>310</v>
      </c>
    </row>
    <row r="312" spans="1:15" x14ac:dyDescent="0.2">
      <c r="A312" s="29" t="s">
        <v>1913</v>
      </c>
      <c r="B312" s="15" t="s">
        <v>67</v>
      </c>
      <c r="C312" s="15">
        <v>19181031</v>
      </c>
      <c r="D312" s="15">
        <v>20261231</v>
      </c>
      <c r="F312" s="27" t="s">
        <v>683</v>
      </c>
      <c r="H312" s="28" t="s">
        <v>606</v>
      </c>
      <c r="I312" s="15" t="s">
        <v>1960</v>
      </c>
      <c r="J312" s="27" t="str">
        <f>IF( F312 = "Sovereign", "x", "" )</f>
        <v>x</v>
      </c>
      <c r="K312" s="15">
        <f>( $C312&lt;=$Q$1 )*( $D312 &gt; $Q$1 ) * 1</f>
        <v>1</v>
      </c>
      <c r="L312" s="19"/>
      <c r="N312" s="15" t="s">
        <v>275</v>
      </c>
      <c r="O312" s="19">
        <v>311</v>
      </c>
    </row>
    <row r="313" spans="1:15" x14ac:dyDescent="0.2">
      <c r="A313" s="29" t="s">
        <v>985</v>
      </c>
      <c r="B313" s="15" t="s">
        <v>131</v>
      </c>
      <c r="C313" s="15">
        <v>18770509</v>
      </c>
      <c r="D313" s="15">
        <v>20261231</v>
      </c>
      <c r="F313" s="27" t="s">
        <v>683</v>
      </c>
      <c r="H313" s="28" t="s">
        <v>606</v>
      </c>
      <c r="I313" s="15" t="s">
        <v>1917</v>
      </c>
      <c r="J313" s="27" t="str">
        <f>IF( F313 = "Sovereign", "x", "" )</f>
        <v>x</v>
      </c>
      <c r="K313" s="15">
        <f>( $C313&lt;=$Q$1 )*( $D313 &gt; $Q$1 ) * 1</f>
        <v>1</v>
      </c>
      <c r="L313" s="19"/>
      <c r="N313" s="15" t="s">
        <v>346</v>
      </c>
      <c r="O313" s="19">
        <v>312</v>
      </c>
    </row>
    <row r="314" spans="1:15" x14ac:dyDescent="0.2">
      <c r="A314" s="29" t="s">
        <v>1917</v>
      </c>
      <c r="B314" s="15" t="s">
        <v>1916</v>
      </c>
      <c r="C314" s="15">
        <v>18590124</v>
      </c>
      <c r="D314" s="15">
        <v>18770509</v>
      </c>
      <c r="F314" s="27" t="s">
        <v>684</v>
      </c>
      <c r="G314" s="27" t="s">
        <v>681</v>
      </c>
      <c r="H314" s="28" t="s">
        <v>606</v>
      </c>
      <c r="I314" s="15" t="s">
        <v>1502</v>
      </c>
      <c r="J314" s="27" t="str">
        <f>IF( F314 = "Sovereign", "x", "" )</f>
        <v/>
      </c>
      <c r="K314" s="15">
        <f>( $C314&lt;=$Q$1 )*( $D314 &gt; $Q$1 ) * 1</f>
        <v>0</v>
      </c>
      <c r="L314" s="19"/>
      <c r="M314" s="19"/>
      <c r="O314" s="19">
        <v>313</v>
      </c>
    </row>
    <row r="315" spans="1:15" x14ac:dyDescent="0.2">
      <c r="A315" s="29" t="s">
        <v>972</v>
      </c>
      <c r="B315" s="15" t="s">
        <v>103</v>
      </c>
      <c r="C315" s="15">
        <v>19910827</v>
      </c>
      <c r="D315" s="15">
        <v>20261231</v>
      </c>
      <c r="F315" s="27" t="s">
        <v>683</v>
      </c>
      <c r="H315" s="28" t="s">
        <v>606</v>
      </c>
      <c r="I315" s="15" t="s">
        <v>1877</v>
      </c>
      <c r="J315" s="27" t="str">
        <f>IF( F315 = "Sovereign", "x", "" )</f>
        <v>x</v>
      </c>
      <c r="K315" s="15">
        <f>( $C315&lt;=$Q$1 )*( $D315 &gt; $Q$1 ) * 1</f>
        <v>1</v>
      </c>
      <c r="L315" s="19"/>
      <c r="N315" s="15" t="s">
        <v>317</v>
      </c>
      <c r="O315" s="19">
        <v>314</v>
      </c>
    </row>
    <row r="316" spans="1:15" x14ac:dyDescent="0.2">
      <c r="A316" s="29" t="s">
        <v>976</v>
      </c>
      <c r="B316" s="15" t="s">
        <v>24</v>
      </c>
      <c r="C316" s="15">
        <v>19081005</v>
      </c>
      <c r="D316" s="15">
        <v>20261231</v>
      </c>
      <c r="F316" s="27" t="s">
        <v>683</v>
      </c>
      <c r="H316" s="28" t="s">
        <v>606</v>
      </c>
      <c r="I316" s="15" t="s">
        <v>1924</v>
      </c>
      <c r="J316" s="27" t="str">
        <f>IF( F316 = "Sovereign", "x", "" )</f>
        <v>x</v>
      </c>
      <c r="K316" s="15">
        <f>( $C316&lt;=$Q$1 )*( $D316 &gt; $Q$1 ) * 1</f>
        <v>1</v>
      </c>
      <c r="L316" s="19"/>
      <c r="N316" s="15" t="s">
        <v>218</v>
      </c>
      <c r="O316" s="19">
        <v>315</v>
      </c>
    </row>
    <row r="317" spans="1:15" x14ac:dyDescent="0.2">
      <c r="A317" s="29" t="s">
        <v>1924</v>
      </c>
      <c r="B317" s="15" t="s">
        <v>1925</v>
      </c>
      <c r="C317" s="15">
        <v>18780303</v>
      </c>
      <c r="D317" s="15">
        <v>19081005</v>
      </c>
      <c r="F317" s="27" t="s">
        <v>684</v>
      </c>
      <c r="G317" s="27" t="s">
        <v>681</v>
      </c>
      <c r="H317" s="28" t="s">
        <v>606</v>
      </c>
      <c r="I317" s="15" t="s">
        <v>1502</v>
      </c>
      <c r="J317" s="27" t="str">
        <f>IF( F317 = "Sovereign", "x", "" )</f>
        <v/>
      </c>
      <c r="K317" s="15">
        <f>( $C317&lt;=$Q$1 )*( $D317 &gt; $Q$1 ) * 1</f>
        <v>0</v>
      </c>
      <c r="L317" s="19"/>
      <c r="M317" s="19"/>
      <c r="O317" s="19">
        <v>316</v>
      </c>
    </row>
    <row r="318" spans="1:15" x14ac:dyDescent="0.2">
      <c r="A318" s="29" t="s">
        <v>1930</v>
      </c>
      <c r="B318" s="15" t="s">
        <v>59</v>
      </c>
      <c r="C318" s="15">
        <v>19441012</v>
      </c>
      <c r="D318" s="15">
        <v>20261231</v>
      </c>
      <c r="F318" s="27" t="s">
        <v>683</v>
      </c>
      <c r="H318" s="28" t="s">
        <v>606</v>
      </c>
      <c r="I318" s="15" t="s">
        <v>992</v>
      </c>
      <c r="J318" s="27" t="str">
        <f>IF( F318 = "Sovereign", "x", "" )</f>
        <v>x</v>
      </c>
      <c r="K318" s="15">
        <f>( $C318&lt;=$Q$1 )*( $D318 &gt; $Q$1 ) * 1</f>
        <v>1</v>
      </c>
      <c r="L318" s="19"/>
      <c r="N318" s="15" t="s">
        <v>263</v>
      </c>
      <c r="O318" s="19">
        <v>317</v>
      </c>
    </row>
    <row r="319" spans="1:15" x14ac:dyDescent="0.2">
      <c r="A319" s="29" t="s">
        <v>992</v>
      </c>
      <c r="B319" s="15" t="s">
        <v>59</v>
      </c>
      <c r="C319" s="15">
        <v>18220101</v>
      </c>
      <c r="D319" s="15">
        <v>19410406</v>
      </c>
      <c r="F319" s="27" t="s">
        <v>683</v>
      </c>
      <c r="H319" s="28" t="s">
        <v>606</v>
      </c>
      <c r="I319" s="15" t="s">
        <v>1502</v>
      </c>
      <c r="J319" s="27" t="str">
        <f>IF( F319 = "Sovereign", "x", "" )</f>
        <v>x</v>
      </c>
      <c r="K319" s="15">
        <f>( $C319&lt;=$Q$1 )*( $D319 &gt; $Q$1 ) * 1</f>
        <v>0</v>
      </c>
      <c r="L319" s="19"/>
      <c r="M319" s="19"/>
      <c r="O319" s="19">
        <v>318</v>
      </c>
    </row>
    <row r="320" spans="1:15" x14ac:dyDescent="0.2">
      <c r="A320" s="29" t="s">
        <v>1931</v>
      </c>
      <c r="B320" s="15" t="s">
        <v>1</v>
      </c>
      <c r="C320" s="15">
        <v>19441129</v>
      </c>
      <c r="D320" s="15">
        <v>20261231</v>
      </c>
      <c r="F320" s="27" t="s">
        <v>683</v>
      </c>
      <c r="H320" s="28" t="s">
        <v>606</v>
      </c>
      <c r="I320" s="15" t="s">
        <v>994</v>
      </c>
      <c r="J320" s="27" t="str">
        <f>IF( F320 = "Sovereign", "x", "" )</f>
        <v>x</v>
      </c>
      <c r="K320" s="15">
        <f>( $C320&lt;=$Q$1 )*( $D320 &gt; $Q$1 ) * 1</f>
        <v>1</v>
      </c>
      <c r="L320" s="19"/>
      <c r="N320" s="15" t="s">
        <v>190</v>
      </c>
      <c r="O320" s="19">
        <v>319</v>
      </c>
    </row>
    <row r="321" spans="1:15" x14ac:dyDescent="0.2">
      <c r="A321" s="29" t="s">
        <v>978</v>
      </c>
      <c r="B321" s="15" t="s">
        <v>1</v>
      </c>
      <c r="C321" s="15">
        <v>19121128</v>
      </c>
      <c r="D321" s="15">
        <v>19390407</v>
      </c>
      <c r="F321" s="27" t="s">
        <v>683</v>
      </c>
      <c r="H321" s="28" t="s">
        <v>606</v>
      </c>
      <c r="I321" s="15" t="s">
        <v>1502</v>
      </c>
      <c r="J321" s="27" t="str">
        <f>IF( F321 = "Sovereign", "x", "" )</f>
        <v>x</v>
      </c>
      <c r="K321" s="15">
        <f>( $C321&lt;=$Q$1 )*( $D321 &gt; $Q$1 ) * 1</f>
        <v>0</v>
      </c>
      <c r="L321" s="19"/>
      <c r="M321" s="19"/>
      <c r="O321" s="19">
        <v>320</v>
      </c>
    </row>
    <row r="322" spans="1:15" x14ac:dyDescent="0.2">
      <c r="A322" s="15" t="s">
        <v>973</v>
      </c>
      <c r="B322" s="15" t="s">
        <v>118</v>
      </c>
      <c r="C322" s="15">
        <v>19910908</v>
      </c>
      <c r="D322" s="15">
        <v>20261231</v>
      </c>
      <c r="F322" s="27" t="s">
        <v>683</v>
      </c>
      <c r="H322" s="28" t="s">
        <v>606</v>
      </c>
      <c r="I322" s="15" t="s">
        <v>1937</v>
      </c>
      <c r="J322" s="27" t="str">
        <f>IF( F322 = "Sovereign", "x", "" )</f>
        <v>x</v>
      </c>
      <c r="K322" s="15">
        <f>( $C322&lt;=$Q$1 )*( $D322 &gt; $Q$1 ) * 1</f>
        <v>1</v>
      </c>
      <c r="L322" s="19"/>
      <c r="N322" s="15" t="s">
        <v>332</v>
      </c>
      <c r="O322" s="19">
        <v>321</v>
      </c>
    </row>
    <row r="323" spans="1:15" x14ac:dyDescent="0.2">
      <c r="A323" s="29" t="s">
        <v>2371</v>
      </c>
      <c r="B323" s="15" t="s">
        <v>187</v>
      </c>
      <c r="C323" s="15">
        <v>20060605</v>
      </c>
      <c r="D323" s="15">
        <v>20261231</v>
      </c>
      <c r="F323" s="27" t="s">
        <v>683</v>
      </c>
      <c r="H323" s="28" t="s">
        <v>606</v>
      </c>
      <c r="I323" s="15" t="s">
        <v>1937</v>
      </c>
      <c r="J323" s="27" t="str">
        <f>IF( F323 = "Sovereign", "x", "" )</f>
        <v>x</v>
      </c>
      <c r="K323" s="15">
        <f>( $C323&lt;=$Q$1 )*( $D323 &gt; $Q$1 ) * 1</f>
        <v>1</v>
      </c>
      <c r="L323" s="19"/>
      <c r="N323" s="15" t="s">
        <v>356</v>
      </c>
      <c r="O323" s="19">
        <v>322</v>
      </c>
    </row>
    <row r="324" spans="1:15" x14ac:dyDescent="0.2">
      <c r="A324" s="29" t="s">
        <v>1937</v>
      </c>
      <c r="B324" s="15" t="s">
        <v>1936</v>
      </c>
      <c r="C324" s="15">
        <v>19181201</v>
      </c>
      <c r="D324" s="15">
        <v>19920427</v>
      </c>
      <c r="F324" s="27" t="s">
        <v>683</v>
      </c>
      <c r="H324" s="28" t="s">
        <v>606</v>
      </c>
      <c r="I324" s="15" t="s">
        <v>1938</v>
      </c>
      <c r="J324" s="27" t="str">
        <f>IF( F324 = "Sovereign", "x", "" )</f>
        <v>x</v>
      </c>
      <c r="K324" s="15">
        <f>( $C324&lt;=$Q$1 )*( $D324 &gt; $Q$1 ) * 1</f>
        <v>0</v>
      </c>
      <c r="L324" s="19"/>
      <c r="M324" s="19"/>
      <c r="O324" s="19">
        <v>323</v>
      </c>
    </row>
    <row r="325" spans="1:15" x14ac:dyDescent="0.2">
      <c r="A325" s="29" t="s">
        <v>1938</v>
      </c>
      <c r="B325" s="15" t="s">
        <v>187</v>
      </c>
      <c r="C325" s="15">
        <v>18820306</v>
      </c>
      <c r="D325" s="15">
        <v>19181201</v>
      </c>
      <c r="F325" s="27" t="s">
        <v>683</v>
      </c>
      <c r="H325" s="28" t="s">
        <v>606</v>
      </c>
      <c r="I325" s="15" t="s">
        <v>1939</v>
      </c>
      <c r="J325" s="27" t="str">
        <f>IF( F325 = "Sovereign", "x", "" )</f>
        <v>x</v>
      </c>
      <c r="K325" s="15">
        <f>( $C325&lt;=$Q$1 )*( $D325 &gt; $Q$1 ) * 1</f>
        <v>0</v>
      </c>
      <c r="L325" s="19"/>
      <c r="M325" s="19"/>
      <c r="O325" s="19">
        <v>324</v>
      </c>
    </row>
    <row r="326" spans="1:15" x14ac:dyDescent="0.2">
      <c r="A326" s="29" t="s">
        <v>1939</v>
      </c>
      <c r="B326" s="15" t="s">
        <v>1940</v>
      </c>
      <c r="C326" s="15">
        <v>18150101</v>
      </c>
      <c r="D326" s="15">
        <v>18820306</v>
      </c>
      <c r="F326" s="27" t="s">
        <v>684</v>
      </c>
      <c r="G326" s="27" t="s">
        <v>681</v>
      </c>
      <c r="H326" s="28" t="s">
        <v>606</v>
      </c>
      <c r="I326" s="15" t="s">
        <v>1502</v>
      </c>
      <c r="J326" s="27" t="str">
        <f>IF( F326 = "Sovereign", "x", "" )</f>
        <v/>
      </c>
      <c r="K326" s="15">
        <f>( $C326&lt;=$Q$1 )*( $D326 &gt; $Q$1 ) * 1</f>
        <v>0</v>
      </c>
      <c r="L326" s="19"/>
      <c r="M326" s="19"/>
      <c r="O326" s="19">
        <v>325</v>
      </c>
    </row>
    <row r="327" spans="1:15" x14ac:dyDescent="0.2">
      <c r="A327" s="29" t="s">
        <v>980</v>
      </c>
      <c r="B327" s="15" t="s">
        <v>81</v>
      </c>
      <c r="C327" s="15">
        <v>20080217</v>
      </c>
      <c r="D327" s="15">
        <v>20261231</v>
      </c>
      <c r="F327" s="27" t="s">
        <v>683</v>
      </c>
      <c r="H327" s="28" t="s">
        <v>606</v>
      </c>
      <c r="I327" s="15" t="s">
        <v>979</v>
      </c>
      <c r="J327" s="27" t="str">
        <f>IF( F327 = "Sovereign", "x", "" )</f>
        <v>x</v>
      </c>
      <c r="K327" s="15">
        <f>( $C327&lt;=$Q$1 )*( $D327 &gt; $Q$1 ) * 1</f>
        <v>1</v>
      </c>
      <c r="L327" s="19"/>
      <c r="N327" s="15" t="s">
        <v>296</v>
      </c>
      <c r="O327" s="19">
        <v>326</v>
      </c>
    </row>
    <row r="328" spans="1:15" x14ac:dyDescent="0.2">
      <c r="A328" s="29" t="s">
        <v>1948</v>
      </c>
      <c r="B328" s="15" t="s">
        <v>1949</v>
      </c>
      <c r="C328" s="15">
        <v>19920427</v>
      </c>
      <c r="D328" s="15">
        <v>20060605</v>
      </c>
      <c r="F328" s="27" t="s">
        <v>683</v>
      </c>
      <c r="H328" s="28" t="s">
        <v>606</v>
      </c>
      <c r="I328" s="15" t="s">
        <v>1937</v>
      </c>
      <c r="J328" s="27" t="str">
        <f>IF( F328 = "Sovereign", "x", "" )</f>
        <v>x</v>
      </c>
      <c r="K328" s="15">
        <f>( $C328&lt;=$Q$1 )*( $D328 &gt; $Q$1 ) * 1</f>
        <v>0</v>
      </c>
      <c r="L328" s="19"/>
      <c r="M328" s="19"/>
      <c r="O328" s="19">
        <v>327</v>
      </c>
    </row>
    <row r="329" spans="1:15" x14ac:dyDescent="0.2">
      <c r="A329" s="29" t="s">
        <v>2372</v>
      </c>
      <c r="B329" s="15" t="s">
        <v>106</v>
      </c>
      <c r="C329" s="15">
        <v>20060603</v>
      </c>
      <c r="D329" s="15">
        <v>20261231</v>
      </c>
      <c r="F329" s="27" t="s">
        <v>683</v>
      </c>
      <c r="H329" s="28" t="s">
        <v>606</v>
      </c>
      <c r="I329" s="15" t="s">
        <v>1948</v>
      </c>
      <c r="J329" s="27" t="str">
        <f>IF( F329 = "Sovereign", "x", "" )</f>
        <v>x</v>
      </c>
      <c r="K329" s="15">
        <f>( $C329&lt;=$Q$1 )*( $D329 &gt; $Q$1 ) * 1</f>
        <v>1</v>
      </c>
      <c r="L329" s="19"/>
      <c r="N329" s="15" t="s">
        <v>319</v>
      </c>
      <c r="O329" s="19">
        <v>328</v>
      </c>
    </row>
    <row r="330" spans="1:15" x14ac:dyDescent="0.2">
      <c r="A330" s="29" t="s">
        <v>989</v>
      </c>
      <c r="B330" s="15" t="s">
        <v>20</v>
      </c>
      <c r="C330" s="15">
        <v>19920303</v>
      </c>
      <c r="D330" s="15">
        <v>20261231</v>
      </c>
      <c r="F330" s="27" t="s">
        <v>683</v>
      </c>
      <c r="H330" s="28" t="s">
        <v>606</v>
      </c>
      <c r="I330" s="15" t="s">
        <v>1937</v>
      </c>
      <c r="J330" s="27" t="str">
        <f>IF( F330 = "Sovereign", "x", "" )</f>
        <v>x</v>
      </c>
      <c r="K330" s="15">
        <f>( $C330&lt;=$Q$1 )*( $D330 &gt; $Q$1 ) * 1</f>
        <v>1</v>
      </c>
      <c r="L330" s="19"/>
      <c r="N330" s="15" t="s">
        <v>214</v>
      </c>
      <c r="O330" s="19">
        <v>329</v>
      </c>
    </row>
    <row r="331" spans="1:15" x14ac:dyDescent="0.2">
      <c r="A331" s="29" t="s">
        <v>977</v>
      </c>
      <c r="B331" s="15" t="s">
        <v>37</v>
      </c>
      <c r="C331" s="15">
        <v>19910625</v>
      </c>
      <c r="D331" s="15">
        <v>20261231</v>
      </c>
      <c r="F331" s="27" t="s">
        <v>683</v>
      </c>
      <c r="H331" s="28" t="s">
        <v>606</v>
      </c>
      <c r="I331" s="15" t="s">
        <v>1937</v>
      </c>
      <c r="J331" s="27" t="str">
        <f>IF( F331 = "Sovereign", "x", "" )</f>
        <v>x</v>
      </c>
      <c r="K331" s="15">
        <f>( $C331&lt;=$Q$1 )*( $D331 &gt; $Q$1 ) * 1</f>
        <v>1</v>
      </c>
      <c r="L331" s="19"/>
      <c r="N331" s="15" t="s">
        <v>236</v>
      </c>
      <c r="O331" s="19">
        <v>330</v>
      </c>
    </row>
    <row r="332" spans="1:15" x14ac:dyDescent="0.2">
      <c r="A332" s="29" t="s">
        <v>981</v>
      </c>
      <c r="B332" s="15" t="s">
        <v>146</v>
      </c>
      <c r="C332" s="15">
        <v>19910625</v>
      </c>
      <c r="D332" s="15">
        <v>20261231</v>
      </c>
      <c r="F332" s="27" t="s">
        <v>683</v>
      </c>
      <c r="H332" s="28" t="s">
        <v>606</v>
      </c>
      <c r="I332" s="15" t="s">
        <v>1937</v>
      </c>
      <c r="J332" s="27" t="str">
        <f>IF( F332 = "Sovereign", "x", "" )</f>
        <v>x</v>
      </c>
      <c r="K332" s="15">
        <f>( $C332&lt;=$Q$1 )*( $D332 &gt; $Q$1 ) * 1</f>
        <v>1</v>
      </c>
      <c r="L332" s="19"/>
      <c r="N332" s="15" t="s">
        <v>359</v>
      </c>
      <c r="O332" s="19">
        <v>331</v>
      </c>
    </row>
    <row r="333" spans="1:15" x14ac:dyDescent="0.2">
      <c r="A333" s="29" t="s">
        <v>2373</v>
      </c>
      <c r="B333" s="15" t="s">
        <v>9</v>
      </c>
      <c r="C333" s="15">
        <v>19450427</v>
      </c>
      <c r="D333" s="15">
        <v>20261231</v>
      </c>
      <c r="F333" s="27" t="s">
        <v>683</v>
      </c>
      <c r="H333" s="28" t="s">
        <v>606</v>
      </c>
      <c r="I333" s="15" t="s">
        <v>994</v>
      </c>
      <c r="J333" s="27" t="str">
        <f>IF( F333 = "Sovereign", "x", "" )</f>
        <v>x</v>
      </c>
      <c r="K333" s="15">
        <f>( $C333&lt;=$Q$1 )*( $D333 &gt; $Q$1 ) * 1</f>
        <v>1</v>
      </c>
      <c r="L333" s="19"/>
      <c r="N333" s="15" t="s">
        <v>200</v>
      </c>
      <c r="O333" s="19">
        <v>332</v>
      </c>
    </row>
    <row r="334" spans="1:15" x14ac:dyDescent="0.2">
      <c r="A334" s="29" t="s">
        <v>1962</v>
      </c>
      <c r="B334" s="15" t="s">
        <v>9</v>
      </c>
      <c r="C334" s="15">
        <v>19190912</v>
      </c>
      <c r="D334" s="15">
        <v>19380313</v>
      </c>
      <c r="F334" s="27" t="s">
        <v>683</v>
      </c>
      <c r="H334" s="28" t="s">
        <v>606</v>
      </c>
      <c r="I334" s="15" t="s">
        <v>1960</v>
      </c>
      <c r="J334" s="27" t="str">
        <f>IF( F334 = "Sovereign", "x", "" )</f>
        <v>x</v>
      </c>
      <c r="K334" s="15">
        <f>( $C334&lt;=$Q$1 )*( $D334 &gt; $Q$1 ) * 1</f>
        <v>0</v>
      </c>
      <c r="L334" s="19"/>
      <c r="M334" s="19"/>
      <c r="O334" s="19">
        <v>333</v>
      </c>
    </row>
    <row r="335" spans="1:15" x14ac:dyDescent="0.2">
      <c r="A335" s="29" t="s">
        <v>1960</v>
      </c>
      <c r="B335" s="15" t="s">
        <v>1961</v>
      </c>
      <c r="C335" s="15">
        <v>18670330</v>
      </c>
      <c r="D335" s="15">
        <v>19190912</v>
      </c>
      <c r="F335" s="27" t="s">
        <v>683</v>
      </c>
      <c r="H335" s="28" t="s">
        <v>606</v>
      </c>
      <c r="I335" s="15" t="s">
        <v>1963</v>
      </c>
      <c r="J335" s="27" t="str">
        <f>IF( F335 = "Sovereign", "x", "" )</f>
        <v>x</v>
      </c>
      <c r="K335" s="15">
        <f>( $C335&lt;=$Q$1 )*( $D335 &gt; $Q$1 ) * 1</f>
        <v>0</v>
      </c>
      <c r="L335" s="19"/>
      <c r="M335" s="19"/>
      <c r="O335" s="19">
        <v>334</v>
      </c>
    </row>
    <row r="336" spans="1:15" x14ac:dyDescent="0.2">
      <c r="A336" s="29" t="s">
        <v>1963</v>
      </c>
      <c r="B336" s="15" t="s">
        <v>9</v>
      </c>
      <c r="C336" s="15">
        <v>18040811</v>
      </c>
      <c r="D336" s="15">
        <v>18670330</v>
      </c>
      <c r="F336" s="27" t="s">
        <v>683</v>
      </c>
      <c r="H336" s="28" t="s">
        <v>606</v>
      </c>
      <c r="I336" s="15" t="s">
        <v>613</v>
      </c>
      <c r="J336" s="27" t="str">
        <f>IF( F336 = "Sovereign", "x", "" )</f>
        <v>x</v>
      </c>
      <c r="K336" s="15">
        <f>( $C336&lt;=$Q$1 )*( $D336 &gt; $Q$1 ) * 1</f>
        <v>0</v>
      </c>
      <c r="L336" s="19"/>
      <c r="M336" s="19"/>
      <c r="O336" s="19">
        <v>335</v>
      </c>
    </row>
    <row r="337" spans="1:15" x14ac:dyDescent="0.2">
      <c r="A337" s="29" t="s">
        <v>1970</v>
      </c>
      <c r="B337" s="15" t="s">
        <v>90</v>
      </c>
      <c r="C337" s="15">
        <v>18060823</v>
      </c>
      <c r="D337" s="15">
        <v>20261231</v>
      </c>
      <c r="F337" s="27" t="s">
        <v>683</v>
      </c>
      <c r="H337" s="28" t="s">
        <v>606</v>
      </c>
      <c r="I337" s="15" t="s">
        <v>613</v>
      </c>
      <c r="J337" s="27" t="str">
        <f>IF( F337 = "Sovereign", "x", "" )</f>
        <v>x</v>
      </c>
      <c r="K337" s="15">
        <f>( $C337&lt;=$Q$1 )*( $D337 &gt; $Q$1 ) * 1</f>
        <v>1</v>
      </c>
      <c r="L337" s="19"/>
      <c r="N337" s="15" t="s">
        <v>305</v>
      </c>
      <c r="O337" s="19">
        <v>336</v>
      </c>
    </row>
    <row r="338" spans="1:15" x14ac:dyDescent="0.2">
      <c r="A338" s="29" t="s">
        <v>998</v>
      </c>
      <c r="B338" s="15" t="s">
        <v>157</v>
      </c>
      <c r="C338" s="15">
        <v>16481024</v>
      </c>
      <c r="D338" s="15">
        <v>20261231</v>
      </c>
      <c r="F338" s="27" t="s">
        <v>683</v>
      </c>
      <c r="H338" s="28" t="s">
        <v>606</v>
      </c>
      <c r="I338" s="15" t="s">
        <v>613</v>
      </c>
      <c r="J338" s="27" t="str">
        <f>IF( F338 = "Sovereign", "x", "" )</f>
        <v>x</v>
      </c>
      <c r="K338" s="15">
        <f>( $C338&lt;=$Q$1 )*( $D338 &gt; $Q$1 ) * 1</f>
        <v>1</v>
      </c>
      <c r="L338" s="19"/>
      <c r="N338" s="15" t="s">
        <v>370</v>
      </c>
      <c r="O338" s="19">
        <v>337</v>
      </c>
    </row>
    <row r="339" spans="1:15" x14ac:dyDescent="0.2">
      <c r="A339" s="29" t="s">
        <v>993</v>
      </c>
      <c r="B339" s="15" t="s">
        <v>74</v>
      </c>
      <c r="C339" s="15">
        <v>18610317</v>
      </c>
      <c r="D339" s="15">
        <v>20261231</v>
      </c>
      <c r="E339" s="15" t="s">
        <v>2415</v>
      </c>
      <c r="F339" s="27" t="s">
        <v>683</v>
      </c>
      <c r="H339" s="28" t="s">
        <v>606</v>
      </c>
      <c r="I339" s="15" t="s">
        <v>1993</v>
      </c>
      <c r="J339" s="27" t="str">
        <f>IF( F339 = "Sovereign", "x", "" )</f>
        <v>x</v>
      </c>
      <c r="K339" s="15">
        <f>( $C339&lt;=$Q$1 )*( $D339 &gt; $Q$1 ) * 1</f>
        <v>1</v>
      </c>
      <c r="L339" s="19"/>
      <c r="N339" s="15" t="s">
        <v>288</v>
      </c>
      <c r="O339" s="19">
        <v>338</v>
      </c>
    </row>
    <row r="340" spans="1:15" x14ac:dyDescent="0.2">
      <c r="A340" s="29" t="s">
        <v>1975</v>
      </c>
      <c r="B340" s="15" t="s">
        <v>1976</v>
      </c>
      <c r="C340" s="15">
        <v>18150101</v>
      </c>
      <c r="D340" s="15">
        <v>18610317</v>
      </c>
      <c r="F340" s="27" t="s">
        <v>683</v>
      </c>
      <c r="H340" s="28" t="s">
        <v>606</v>
      </c>
      <c r="I340" s="15" t="s">
        <v>613</v>
      </c>
      <c r="J340" s="27" t="str">
        <f>IF( F340 = "Sovereign", "x", "" )</f>
        <v>x</v>
      </c>
      <c r="K340" s="15">
        <f>( $C340&lt;=$Q$1 )*( $D340 &gt; $Q$1 ) * 1</f>
        <v>0</v>
      </c>
      <c r="L340" s="19"/>
      <c r="M340" s="19"/>
      <c r="O340" s="19">
        <v>339</v>
      </c>
    </row>
    <row r="341" spans="1:15" x14ac:dyDescent="0.2">
      <c r="A341" s="29" t="s">
        <v>1980</v>
      </c>
      <c r="B341" s="15" t="s">
        <v>1981</v>
      </c>
      <c r="C341" s="15">
        <v>17200101</v>
      </c>
      <c r="D341" s="15">
        <v>18610317</v>
      </c>
      <c r="F341" s="27" t="s">
        <v>683</v>
      </c>
      <c r="H341" s="28" t="s">
        <v>606</v>
      </c>
      <c r="I341" s="15" t="s">
        <v>613</v>
      </c>
      <c r="J341" s="27" t="str">
        <f>IF( F341 = "Sovereign", "x", "" )</f>
        <v>x</v>
      </c>
      <c r="K341" s="15">
        <f>( $C341&lt;=$Q$1 )*( $D341 &gt; $Q$1 ) * 1</f>
        <v>0</v>
      </c>
      <c r="L341" s="19"/>
      <c r="M341" s="19"/>
      <c r="O341" s="19">
        <v>340</v>
      </c>
    </row>
    <row r="342" spans="1:15" x14ac:dyDescent="0.2">
      <c r="A342" s="29" t="s">
        <v>1988</v>
      </c>
      <c r="B342" s="15" t="s">
        <v>1987</v>
      </c>
      <c r="C342" s="15">
        <v>18161208</v>
      </c>
      <c r="D342" s="15">
        <v>18610317</v>
      </c>
      <c r="F342" s="27" t="s">
        <v>683</v>
      </c>
      <c r="H342" s="28" t="s">
        <v>606</v>
      </c>
      <c r="I342" s="15" t="s">
        <v>613</v>
      </c>
      <c r="J342" s="27" t="str">
        <f>IF( F342 = "Sovereign", "x", "" )</f>
        <v>x</v>
      </c>
      <c r="K342" s="15">
        <f>( $C342&lt;=$Q$1 )*( $D342 &gt; $Q$1 ) * 1</f>
        <v>0</v>
      </c>
      <c r="L342" s="19"/>
      <c r="M342" s="19"/>
      <c r="O342" s="19">
        <v>341</v>
      </c>
    </row>
    <row r="343" spans="1:15" x14ac:dyDescent="0.2">
      <c r="A343" s="29" t="s">
        <v>1992</v>
      </c>
      <c r="B343" s="15" t="s">
        <v>138</v>
      </c>
      <c r="C343" s="15">
        <v>16311001</v>
      </c>
      <c r="D343" s="15">
        <v>20261231</v>
      </c>
      <c r="F343" s="27" t="s">
        <v>683</v>
      </c>
      <c r="H343" s="28" t="s">
        <v>606</v>
      </c>
      <c r="I343" s="15" t="s">
        <v>1975</v>
      </c>
      <c r="J343" s="27" t="str">
        <f>IF( F343 = "Sovereign", "x", "" )</f>
        <v>x</v>
      </c>
      <c r="K343" s="15">
        <f>( $C343&lt;=$Q$1 )*( $D343 &gt; $Q$1 ) * 1</f>
        <v>1</v>
      </c>
      <c r="L343" s="19"/>
      <c r="N343" s="15" t="s">
        <v>138</v>
      </c>
      <c r="O343" s="19">
        <v>342</v>
      </c>
    </row>
    <row r="344" spans="1:15" x14ac:dyDescent="0.2">
      <c r="A344" s="29" t="s">
        <v>969</v>
      </c>
      <c r="B344" s="15" t="s">
        <v>177</v>
      </c>
      <c r="C344" s="15">
        <v>19290211</v>
      </c>
      <c r="D344" s="15">
        <v>20261231</v>
      </c>
      <c r="F344" s="27" t="s">
        <v>683</v>
      </c>
      <c r="H344" s="28" t="s">
        <v>606</v>
      </c>
      <c r="I344" s="15" t="s">
        <v>993</v>
      </c>
      <c r="J344" s="27" t="str">
        <f>IF( F344 = "Sovereign", "x", "" )</f>
        <v>x</v>
      </c>
      <c r="K344" s="15">
        <f>( $C344&lt;=$Q$1 )*( $D344 &gt; $Q$1 ) * 1</f>
        <v>1</v>
      </c>
      <c r="L344" s="19"/>
      <c r="N344" s="15" t="s">
        <v>177</v>
      </c>
      <c r="O344" s="19">
        <v>343</v>
      </c>
    </row>
    <row r="345" spans="1:15" x14ac:dyDescent="0.2">
      <c r="A345" s="29" t="s">
        <v>999</v>
      </c>
      <c r="B345" s="15" t="s">
        <v>98</v>
      </c>
      <c r="C345" s="15">
        <v>19640921</v>
      </c>
      <c r="D345" s="15">
        <v>20261231</v>
      </c>
      <c r="F345" s="27" t="s">
        <v>683</v>
      </c>
      <c r="H345" s="28" t="s">
        <v>606</v>
      </c>
      <c r="I345" s="15" t="s">
        <v>1997</v>
      </c>
      <c r="J345" s="27" t="str">
        <f>IF( F345 = "Sovereign", "x", "" )</f>
        <v>x</v>
      </c>
      <c r="K345" s="15">
        <f>( $C345&lt;=$Q$1 )*( $D345 &gt; $Q$1 ) * 1</f>
        <v>1</v>
      </c>
      <c r="L345" s="19"/>
      <c r="N345" s="15" t="s">
        <v>312</v>
      </c>
      <c r="O345" s="19">
        <v>344</v>
      </c>
    </row>
    <row r="346" spans="1:15" x14ac:dyDescent="0.2">
      <c r="A346" s="29" t="s">
        <v>1997</v>
      </c>
      <c r="B346" s="15" t="s">
        <v>2002</v>
      </c>
      <c r="C346" s="15">
        <v>18000905</v>
      </c>
      <c r="D346" s="15">
        <v>19640921</v>
      </c>
      <c r="E346" s="15" t="s">
        <v>2404</v>
      </c>
      <c r="F346" s="27" t="s">
        <v>684</v>
      </c>
      <c r="G346" s="27" t="s">
        <v>173</v>
      </c>
      <c r="H346" s="28" t="s">
        <v>606</v>
      </c>
      <c r="I346" s="15" t="s">
        <v>1998</v>
      </c>
      <c r="J346" s="27" t="str">
        <f>IF( F346 = "Sovereign", "x", "" )</f>
        <v/>
      </c>
      <c r="K346" s="15">
        <f>( $C346&lt;=$Q$1 )*( $D346 &gt; $Q$1 ) * 1</f>
        <v>0</v>
      </c>
      <c r="L346" s="19"/>
      <c r="M346" s="19"/>
      <c r="O346" s="19">
        <v>345</v>
      </c>
    </row>
    <row r="347" spans="1:15" x14ac:dyDescent="0.2">
      <c r="A347" s="29" t="s">
        <v>1998</v>
      </c>
      <c r="B347" s="15" t="s">
        <v>2001</v>
      </c>
      <c r="C347" s="15">
        <v>17980612</v>
      </c>
      <c r="D347" s="15">
        <v>18000905</v>
      </c>
      <c r="E347" s="15" t="s">
        <v>2408</v>
      </c>
      <c r="F347" s="27" t="s">
        <v>684</v>
      </c>
      <c r="G347" s="27" t="s">
        <v>184</v>
      </c>
      <c r="H347" s="28" t="s">
        <v>606</v>
      </c>
      <c r="I347" s="15" t="s">
        <v>1999</v>
      </c>
      <c r="J347" s="27" t="str">
        <f>IF( F347 = "Sovereign", "x", "" )</f>
        <v/>
      </c>
      <c r="K347" s="15">
        <f>( $C347&lt;=$Q$1 )*( $D347 &gt; $Q$1 ) * 1</f>
        <v>0</v>
      </c>
      <c r="L347" s="19"/>
      <c r="M347" s="19"/>
      <c r="O347" s="19">
        <v>346</v>
      </c>
    </row>
    <row r="348" spans="1:15" x14ac:dyDescent="0.2">
      <c r="A348" s="29" t="s">
        <v>1999</v>
      </c>
      <c r="B348" s="15" t="s">
        <v>2000</v>
      </c>
      <c r="C348" s="15">
        <v>15301124</v>
      </c>
      <c r="D348" s="15">
        <v>17980612</v>
      </c>
      <c r="F348" s="27" t="s">
        <v>683</v>
      </c>
      <c r="H348" s="28" t="s">
        <v>606</v>
      </c>
      <c r="I348" s="15" t="s">
        <v>613</v>
      </c>
      <c r="J348" s="27" t="str">
        <f>IF( F348 = "Sovereign", "x", "" )</f>
        <v>x</v>
      </c>
      <c r="K348" s="15">
        <f>( $C348&lt;=$Q$1 )*( $D348 &gt; $Q$1 ) * 1</f>
        <v>0</v>
      </c>
      <c r="L348" s="19"/>
      <c r="M348" s="19"/>
      <c r="O348" s="19">
        <v>347</v>
      </c>
    </row>
    <row r="349" spans="1:15" x14ac:dyDescent="0.2">
      <c r="A349" s="29" t="s">
        <v>996</v>
      </c>
      <c r="B349" s="15" t="s">
        <v>104</v>
      </c>
      <c r="C349" s="15">
        <v>18610211</v>
      </c>
      <c r="D349" s="15">
        <v>20261231</v>
      </c>
      <c r="F349" s="27" t="s">
        <v>683</v>
      </c>
      <c r="H349" s="28" t="s">
        <v>606</v>
      </c>
      <c r="I349" s="15" t="s">
        <v>2011</v>
      </c>
      <c r="J349" s="27" t="str">
        <f>IF( F349 = "Sovereign", "x", "" )</f>
        <v>x</v>
      </c>
      <c r="K349" s="15">
        <f>( $C349&lt;=$Q$1 )*( $D349 &gt; $Q$1 ) * 1</f>
        <v>1</v>
      </c>
      <c r="L349" s="19"/>
      <c r="N349" s="15" t="s">
        <v>104</v>
      </c>
      <c r="O349" s="19">
        <v>348</v>
      </c>
    </row>
    <row r="350" spans="1:15" x14ac:dyDescent="0.2">
      <c r="A350" s="26" t="s">
        <v>2011</v>
      </c>
      <c r="B350" s="15" t="s">
        <v>104</v>
      </c>
      <c r="C350" s="15">
        <v>18140406</v>
      </c>
      <c r="D350" s="15">
        <v>18610211</v>
      </c>
      <c r="F350" s="27" t="s">
        <v>684</v>
      </c>
      <c r="G350" s="27" t="s">
        <v>1981</v>
      </c>
      <c r="H350" s="28" t="s">
        <v>606</v>
      </c>
      <c r="I350" s="15" t="s">
        <v>2012</v>
      </c>
      <c r="J350" s="27" t="str">
        <f>IF( F350 = "Sovereign", "x", "" )</f>
        <v/>
      </c>
      <c r="K350" s="15">
        <f>( $C350&lt;=$Q$1 )*( $D350 &gt; $Q$1 ) * 1</f>
        <v>0</v>
      </c>
      <c r="L350" s="19"/>
      <c r="M350" s="19"/>
      <c r="O350" s="19">
        <v>349</v>
      </c>
    </row>
    <row r="351" spans="1:15" x14ac:dyDescent="0.2">
      <c r="A351" s="26" t="s">
        <v>2012</v>
      </c>
      <c r="B351" s="15" t="s">
        <v>104</v>
      </c>
      <c r="C351" s="15">
        <v>17930130</v>
      </c>
      <c r="D351" s="15">
        <v>18140406</v>
      </c>
      <c r="E351" s="15" t="s">
        <v>2408</v>
      </c>
      <c r="F351" s="27" t="s">
        <v>684</v>
      </c>
      <c r="G351" s="27" t="s">
        <v>184</v>
      </c>
      <c r="H351" s="28" t="s">
        <v>606</v>
      </c>
      <c r="I351" s="15" t="s">
        <v>2010</v>
      </c>
      <c r="J351" s="27" t="str">
        <f>IF( F351 = "Sovereign", "x", "" )</f>
        <v/>
      </c>
      <c r="K351" s="15">
        <f>( $C351&lt;=$Q$1 )*( $D351 &gt; $Q$1 ) * 1</f>
        <v>0</v>
      </c>
      <c r="L351" s="19"/>
      <c r="M351" s="19"/>
      <c r="O351" s="19">
        <v>350</v>
      </c>
    </row>
    <row r="352" spans="1:15" x14ac:dyDescent="0.2">
      <c r="A352" s="26" t="s">
        <v>2010</v>
      </c>
      <c r="B352" s="15" t="s">
        <v>104</v>
      </c>
      <c r="C352" s="15">
        <v>16410114</v>
      </c>
      <c r="D352" s="15">
        <v>17930130</v>
      </c>
      <c r="F352" s="27" t="s">
        <v>683</v>
      </c>
      <c r="H352" s="28" t="s">
        <v>606</v>
      </c>
      <c r="I352" s="15" t="s">
        <v>613</v>
      </c>
      <c r="J352" s="27" t="str">
        <f>IF( F352 = "Sovereign", "x", "" )</f>
        <v>x</v>
      </c>
      <c r="K352" s="15">
        <f>( $C352&lt;=$Q$1 )*( $D352 &gt; $Q$1 ) * 1</f>
        <v>0</v>
      </c>
      <c r="L352" s="19"/>
      <c r="M352" s="19"/>
      <c r="O352" s="19">
        <v>351</v>
      </c>
    </row>
    <row r="353" spans="1:15" x14ac:dyDescent="0.2">
      <c r="A353" s="29" t="s">
        <v>2016</v>
      </c>
      <c r="B353" s="15" t="s">
        <v>128</v>
      </c>
      <c r="C353" s="15">
        <v>11390725</v>
      </c>
      <c r="D353" s="15">
        <v>20261231</v>
      </c>
      <c r="E353" s="15" t="s">
        <v>2409</v>
      </c>
      <c r="F353" s="27" t="s">
        <v>683</v>
      </c>
      <c r="H353" s="28" t="s">
        <v>606</v>
      </c>
      <c r="I353" s="15" t="s">
        <v>613</v>
      </c>
      <c r="J353" s="27" t="str">
        <f>IF( F353 = "Sovereign", "x", "" )</f>
        <v>x</v>
      </c>
      <c r="K353" s="15">
        <f>( $C353&lt;=$Q$1 )*( $D353 &gt; $Q$1 ) * 1</f>
        <v>1</v>
      </c>
      <c r="L353" s="19"/>
      <c r="N353" s="15" t="s">
        <v>343</v>
      </c>
      <c r="O353" s="19">
        <v>352</v>
      </c>
    </row>
    <row r="354" spans="1:15" x14ac:dyDescent="0.2">
      <c r="A354" s="29" t="s">
        <v>2018</v>
      </c>
      <c r="B354" s="15" t="s">
        <v>767</v>
      </c>
      <c r="C354" s="15">
        <v>14360101</v>
      </c>
      <c r="D354" s="15">
        <v>20261231</v>
      </c>
      <c r="E354" s="15" t="s">
        <v>2410</v>
      </c>
      <c r="F354" s="27" t="s">
        <v>684</v>
      </c>
      <c r="G354" s="27" t="s">
        <v>128</v>
      </c>
      <c r="H354" s="15" t="s">
        <v>606</v>
      </c>
      <c r="I354" s="15" t="s">
        <v>613</v>
      </c>
      <c r="J354" s="27" t="str">
        <f>IF( F354 = "Sovereign", "x", "" )</f>
        <v/>
      </c>
      <c r="K354" s="15">
        <f>( $C354&lt;=$Q$1 )*( $D354 &gt; $Q$1 ) * 1</f>
        <v>1</v>
      </c>
      <c r="L354" s="19"/>
      <c r="M354" s="15" t="s">
        <v>874</v>
      </c>
      <c r="N354" s="15" t="s">
        <v>875</v>
      </c>
      <c r="O354" s="19">
        <v>353</v>
      </c>
    </row>
    <row r="355" spans="1:15" x14ac:dyDescent="0.2">
      <c r="A355" s="29" t="s">
        <v>877</v>
      </c>
      <c r="B355" s="15" t="s">
        <v>768</v>
      </c>
      <c r="C355" s="15">
        <v>14250101</v>
      </c>
      <c r="D355" s="15">
        <v>20261231</v>
      </c>
      <c r="E355" s="15" t="s">
        <v>2410</v>
      </c>
      <c r="F355" s="27" t="s">
        <v>684</v>
      </c>
      <c r="G355" s="27" t="s">
        <v>128</v>
      </c>
      <c r="H355" s="15" t="s">
        <v>606</v>
      </c>
      <c r="I355" s="15" t="s">
        <v>613</v>
      </c>
      <c r="J355" s="27" t="str">
        <f>IF( F355 = "Sovereign", "x", "" )</f>
        <v/>
      </c>
      <c r="K355" s="15">
        <f>( $C355&lt;=$Q$1 )*( $D355 &gt; $Q$1 ) * 1</f>
        <v>1</v>
      </c>
      <c r="L355" s="19"/>
      <c r="M355" s="15" t="s">
        <v>876</v>
      </c>
      <c r="N355" s="15" t="s">
        <v>878</v>
      </c>
      <c r="O355" s="19">
        <v>354</v>
      </c>
    </row>
    <row r="356" spans="1:15" x14ac:dyDescent="0.2">
      <c r="A356" s="29" t="s">
        <v>990</v>
      </c>
      <c r="B356" s="15" t="s">
        <v>152</v>
      </c>
      <c r="C356" s="15">
        <v>15160314</v>
      </c>
      <c r="D356" s="15">
        <v>20261231</v>
      </c>
      <c r="E356" s="15" t="s">
        <v>2411</v>
      </c>
      <c r="F356" s="27" t="s">
        <v>683</v>
      </c>
      <c r="H356" s="28" t="s">
        <v>606</v>
      </c>
      <c r="I356" s="15" t="s">
        <v>613</v>
      </c>
      <c r="J356" s="27" t="str">
        <f>IF( F356 = "Sovereign", "x", "" )</f>
        <v>x</v>
      </c>
      <c r="K356" s="15">
        <f>( $C356&lt;=$Q$1 )*( $D356 &gt; $Q$1 ) * 1</f>
        <v>1</v>
      </c>
      <c r="L356" s="19"/>
      <c r="N356" s="15" t="s">
        <v>365</v>
      </c>
      <c r="O356" s="19">
        <v>355</v>
      </c>
    </row>
    <row r="357" spans="1:15" x14ac:dyDescent="0.2">
      <c r="A357" s="29" t="s">
        <v>2023</v>
      </c>
      <c r="B357" s="15" t="s">
        <v>3</v>
      </c>
      <c r="C357" s="15">
        <v>12780908</v>
      </c>
      <c r="D357" s="15">
        <v>20261231</v>
      </c>
      <c r="F357" s="27" t="s">
        <v>683</v>
      </c>
      <c r="H357" s="28" t="s">
        <v>606</v>
      </c>
      <c r="I357" s="15" t="s">
        <v>613</v>
      </c>
      <c r="J357" s="27" t="str">
        <f>IF( F357 = "Sovereign", "x", "" )</f>
        <v>x</v>
      </c>
      <c r="K357" s="15">
        <f>( $C357&lt;=$Q$1 )*( $D357 &gt; $Q$1 ) * 1</f>
        <v>1</v>
      </c>
      <c r="L357" s="19"/>
      <c r="N357" s="15" t="s">
        <v>194</v>
      </c>
      <c r="O357" s="19">
        <v>356</v>
      </c>
    </row>
    <row r="358" spans="1:15" x14ac:dyDescent="0.2">
      <c r="A358" s="29" t="s">
        <v>995</v>
      </c>
      <c r="B358" s="15" t="s">
        <v>184</v>
      </c>
      <c r="C358" s="15">
        <v>8430810</v>
      </c>
      <c r="D358" s="15">
        <v>20261231</v>
      </c>
      <c r="E358" s="15" t="s">
        <v>2399</v>
      </c>
      <c r="F358" s="27" t="s">
        <v>683</v>
      </c>
      <c r="H358" s="28" t="s">
        <v>606</v>
      </c>
      <c r="I358" s="15" t="s">
        <v>613</v>
      </c>
      <c r="J358" s="27" t="str">
        <f>IF( F358 = "Sovereign", "x", "" )</f>
        <v>x</v>
      </c>
      <c r="K358" s="15">
        <f>( $C358&lt;=$Q$1 )*( $D358 &gt; $Q$1 ) * 1</f>
        <v>1</v>
      </c>
      <c r="L358" s="19"/>
      <c r="N358" s="15" t="s">
        <v>257</v>
      </c>
      <c r="O358" s="19">
        <v>357</v>
      </c>
    </row>
    <row r="359" spans="1:15" x14ac:dyDescent="0.2">
      <c r="A359" s="29" t="s">
        <v>2136</v>
      </c>
      <c r="B359" s="15" t="s">
        <v>92</v>
      </c>
      <c r="C359" s="15">
        <v>19440910</v>
      </c>
      <c r="D359" s="15">
        <v>20261231</v>
      </c>
      <c r="F359" s="27" t="s">
        <v>683</v>
      </c>
      <c r="H359" s="28" t="s">
        <v>606</v>
      </c>
      <c r="I359" s="15" t="s">
        <v>2137</v>
      </c>
      <c r="J359" s="27" t="str">
        <f>IF( F359 = "Sovereign", "x", "" )</f>
        <v>x</v>
      </c>
      <c r="K359" s="15">
        <f>( $C359&lt;=$Q$1 )*( $D359 &gt; $Q$1 ) * 1</f>
        <v>1</v>
      </c>
      <c r="L359" s="19"/>
      <c r="N359" s="15" t="s">
        <v>92</v>
      </c>
      <c r="O359" s="19">
        <v>358</v>
      </c>
    </row>
    <row r="360" spans="1:15" x14ac:dyDescent="0.2">
      <c r="A360" s="15" t="s">
        <v>2137</v>
      </c>
      <c r="B360" s="15" t="s">
        <v>92</v>
      </c>
      <c r="C360" s="15">
        <v>18150609</v>
      </c>
      <c r="D360" s="15">
        <v>19400510</v>
      </c>
      <c r="F360" s="27" t="s">
        <v>683</v>
      </c>
      <c r="H360" s="28" t="s">
        <v>606</v>
      </c>
      <c r="I360" s="15" t="s">
        <v>2138</v>
      </c>
      <c r="J360" s="27" t="str">
        <f>IF( F360 = "Sovereign", "x", "" )</f>
        <v>x</v>
      </c>
      <c r="K360" s="15">
        <f>( $C360&lt;=$Q$1 )*( $D360 &gt; $Q$1 ) * 1</f>
        <v>0</v>
      </c>
      <c r="L360" s="19"/>
      <c r="M360" s="19"/>
      <c r="O360" s="19">
        <v>359</v>
      </c>
    </row>
    <row r="361" spans="1:15" x14ac:dyDescent="0.2">
      <c r="A361" s="29" t="s">
        <v>2138</v>
      </c>
      <c r="B361" s="15" t="s">
        <v>92</v>
      </c>
      <c r="C361" s="15">
        <v>13540101</v>
      </c>
      <c r="D361" s="15">
        <v>17970101</v>
      </c>
      <c r="F361" s="27" t="s">
        <v>683</v>
      </c>
      <c r="H361" s="28" t="s">
        <v>606</v>
      </c>
      <c r="I361" s="15" t="s">
        <v>613</v>
      </c>
      <c r="J361" s="27" t="str">
        <f>IF( F361 = "Sovereign", "x", "" )</f>
        <v>x</v>
      </c>
      <c r="K361" s="15">
        <f>( $C361&lt;=$Q$1 )*( $D361 &gt; $Q$1 ) * 1</f>
        <v>0</v>
      </c>
      <c r="L361" s="19"/>
      <c r="M361" s="19"/>
      <c r="O361" s="19">
        <v>360</v>
      </c>
    </row>
    <row r="362" spans="1:15" x14ac:dyDescent="0.2">
      <c r="A362" s="29" t="s">
        <v>997</v>
      </c>
      <c r="B362" s="15" t="s">
        <v>15</v>
      </c>
      <c r="C362" s="15">
        <v>18301004</v>
      </c>
      <c r="D362" s="15">
        <v>20261231</v>
      </c>
      <c r="F362" s="27" t="s">
        <v>683</v>
      </c>
      <c r="H362" s="28" t="s">
        <v>606</v>
      </c>
      <c r="I362" s="15" t="s">
        <v>2151</v>
      </c>
      <c r="J362" s="27" t="str">
        <f>IF( F362 = "Sovereign", "x", "" )</f>
        <v>x</v>
      </c>
      <c r="K362" s="15">
        <f>( $C362&lt;=$Q$1 )*( $D362 &gt; $Q$1 ) * 1</f>
        <v>1</v>
      </c>
      <c r="L362" s="19"/>
      <c r="N362" s="15" t="s">
        <v>208</v>
      </c>
      <c r="O362" s="19">
        <v>361</v>
      </c>
    </row>
    <row r="363" spans="1:15" x14ac:dyDescent="0.2">
      <c r="A363" s="29" t="s">
        <v>2151</v>
      </c>
      <c r="B363" s="15" t="s">
        <v>112</v>
      </c>
      <c r="C363" s="15">
        <v>18150316</v>
      </c>
      <c r="D363" s="15">
        <v>20261231</v>
      </c>
      <c r="E363" s="15" t="s">
        <v>2405</v>
      </c>
      <c r="F363" s="27" t="s">
        <v>683</v>
      </c>
      <c r="H363" s="28" t="s">
        <v>606</v>
      </c>
      <c r="I363" s="15" t="s">
        <v>2153</v>
      </c>
      <c r="J363" s="27" t="str">
        <f>IF( F363 = "Sovereign", "x", "" )</f>
        <v>x</v>
      </c>
      <c r="K363" s="15">
        <f>( $C363&lt;=$Q$1 )*( $D363 &gt; $Q$1 ) * 1</f>
        <v>1</v>
      </c>
      <c r="L363" s="19"/>
      <c r="N363" s="15" t="s">
        <v>326</v>
      </c>
      <c r="O363" s="19">
        <v>362</v>
      </c>
    </row>
    <row r="364" spans="1:15" x14ac:dyDescent="0.2">
      <c r="A364" s="29" t="s">
        <v>2153</v>
      </c>
      <c r="B364" s="15" t="s">
        <v>2154</v>
      </c>
      <c r="C364" s="15">
        <v>15810726</v>
      </c>
      <c r="D364" s="15">
        <v>18100701</v>
      </c>
      <c r="F364" s="27" t="s">
        <v>683</v>
      </c>
      <c r="H364" s="28" t="s">
        <v>606</v>
      </c>
      <c r="I364" s="15" t="s">
        <v>613</v>
      </c>
      <c r="J364" s="27" t="str">
        <f>IF( F364 = "Sovereign", "x", "" )</f>
        <v>x</v>
      </c>
      <c r="K364" s="15">
        <f>( $C364&lt;=$Q$1 )*( $D364 &gt; $Q$1 ) * 1</f>
        <v>0</v>
      </c>
      <c r="L364" s="19"/>
      <c r="M364" s="19"/>
      <c r="O364" s="19">
        <v>363</v>
      </c>
    </row>
    <row r="365" spans="1:15" x14ac:dyDescent="0.2">
      <c r="A365" s="29" t="s">
        <v>2166</v>
      </c>
      <c r="B365" s="15" t="s">
        <v>41</v>
      </c>
      <c r="C365" s="15">
        <v>18140114</v>
      </c>
      <c r="D365" s="15">
        <v>20261231</v>
      </c>
      <c r="E365" s="15" t="s">
        <v>2415</v>
      </c>
      <c r="F365" s="27" t="s">
        <v>683</v>
      </c>
      <c r="H365" s="28" t="s">
        <v>606</v>
      </c>
      <c r="I365" s="15" t="s">
        <v>2164</v>
      </c>
      <c r="J365" s="27" t="str">
        <f>IF( F365 = "Sovereign", "x", "" )</f>
        <v>x</v>
      </c>
      <c r="K365" s="15">
        <f>( $C365&lt;=$Q$1 )*( $D365 &gt; $Q$1 ) * 1</f>
        <v>1</v>
      </c>
      <c r="L365" s="19"/>
      <c r="N365" s="15" t="s">
        <v>242</v>
      </c>
      <c r="O365" s="19">
        <v>364</v>
      </c>
    </row>
    <row r="366" spans="1:15" x14ac:dyDescent="0.2">
      <c r="A366" s="29" t="s">
        <v>2164</v>
      </c>
      <c r="B366" s="15" t="s">
        <v>2165</v>
      </c>
      <c r="C366" s="15">
        <v>15370101</v>
      </c>
      <c r="D366" s="15">
        <v>18140114</v>
      </c>
      <c r="F366" s="27" t="s">
        <v>683</v>
      </c>
      <c r="H366" s="28" t="s">
        <v>606</v>
      </c>
      <c r="I366" s="15" t="s">
        <v>613</v>
      </c>
      <c r="J366" s="27" t="str">
        <f>IF( F366 = "Sovereign", "x", "" )</f>
        <v>x</v>
      </c>
      <c r="K366" s="15">
        <f>( $C366&lt;=$Q$1 )*( $D366 &gt; $Q$1 ) * 1</f>
        <v>0</v>
      </c>
      <c r="L366" s="19"/>
      <c r="M366" s="19"/>
      <c r="O366" s="19">
        <v>365</v>
      </c>
    </row>
    <row r="367" spans="1:15" x14ac:dyDescent="0.2">
      <c r="A367" s="29" t="s">
        <v>994</v>
      </c>
      <c r="B367" s="15" t="s">
        <v>57</v>
      </c>
      <c r="C367" s="15">
        <v>18710118</v>
      </c>
      <c r="D367" s="15">
        <v>19450508</v>
      </c>
      <c r="E367" s="15" t="s">
        <v>2401</v>
      </c>
      <c r="F367" s="27" t="s">
        <v>683</v>
      </c>
      <c r="H367" s="28" t="s">
        <v>606</v>
      </c>
      <c r="I367" s="15" t="s">
        <v>2204</v>
      </c>
      <c r="J367" s="27" t="str">
        <f>IF( F367 = "Sovereign", "x", "" )</f>
        <v>x</v>
      </c>
      <c r="K367" s="15">
        <f>( $C367&lt;=$Q$1 )*( $D367 &gt; $Q$1 ) * 1</f>
        <v>0</v>
      </c>
      <c r="L367" s="19"/>
      <c r="N367" s="15" t="s">
        <v>261</v>
      </c>
      <c r="O367" s="19">
        <v>366</v>
      </c>
    </row>
    <row r="368" spans="1:15" x14ac:dyDescent="0.2">
      <c r="A368" s="29" t="s">
        <v>2172</v>
      </c>
      <c r="B368" s="15" t="s">
        <v>2171</v>
      </c>
      <c r="C368" s="15">
        <v>17010118</v>
      </c>
      <c r="D368" s="15">
        <v>18710118</v>
      </c>
      <c r="F368" s="27" t="s">
        <v>683</v>
      </c>
      <c r="H368" s="28" t="s">
        <v>606</v>
      </c>
      <c r="I368" s="15" t="s">
        <v>2188</v>
      </c>
      <c r="J368" s="27" t="str">
        <f>IF( F368 = "Sovereign", "x", "" )</f>
        <v>x</v>
      </c>
      <c r="K368" s="15">
        <f>( $C368&lt;=$Q$1 )*( $D368 &gt; $Q$1 ) * 1</f>
        <v>0</v>
      </c>
      <c r="L368" s="19"/>
      <c r="M368" s="19"/>
      <c r="O368" s="19">
        <v>367</v>
      </c>
    </row>
    <row r="369" spans="1:15" x14ac:dyDescent="0.2">
      <c r="A369" s="29" t="s">
        <v>2178</v>
      </c>
      <c r="B369" s="15" t="s">
        <v>2179</v>
      </c>
      <c r="C369" s="15">
        <v>18060801</v>
      </c>
      <c r="D369" s="15">
        <v>18710118</v>
      </c>
      <c r="F369" s="27" t="s">
        <v>683</v>
      </c>
      <c r="H369" s="28" t="s">
        <v>606</v>
      </c>
      <c r="I369" s="15" t="s">
        <v>613</v>
      </c>
      <c r="J369" s="27" t="str">
        <f>IF( F369 = "Sovereign", "x", "" )</f>
        <v>x</v>
      </c>
      <c r="K369" s="15">
        <f>( $C369&lt;=$Q$1 )*( $D369 &gt; $Q$1 ) * 1</f>
        <v>0</v>
      </c>
      <c r="L369" s="19"/>
      <c r="M369" s="19"/>
      <c r="O369" s="19">
        <v>368</v>
      </c>
    </row>
    <row r="370" spans="1:15" x14ac:dyDescent="0.2">
      <c r="A370" s="29" t="s">
        <v>2183</v>
      </c>
      <c r="B370" s="15" t="s">
        <v>2184</v>
      </c>
      <c r="C370" s="15">
        <v>18061211</v>
      </c>
      <c r="D370" s="15">
        <v>18710118</v>
      </c>
      <c r="F370" s="27" t="s">
        <v>683</v>
      </c>
      <c r="H370" s="28" t="s">
        <v>606</v>
      </c>
      <c r="I370" s="15" t="s">
        <v>613</v>
      </c>
      <c r="J370" s="27" t="str">
        <f>IF( F370 = "Sovereign", "x", "" )</f>
        <v>x</v>
      </c>
      <c r="K370" s="15">
        <f>( $C370&lt;=$Q$1 )*( $D370 &gt; $Q$1 ) * 1</f>
        <v>0</v>
      </c>
      <c r="L370" s="19"/>
      <c r="M370" s="19"/>
      <c r="O370" s="19">
        <v>369</v>
      </c>
    </row>
    <row r="371" spans="1:15" x14ac:dyDescent="0.2">
      <c r="A371" s="29" t="s">
        <v>2188</v>
      </c>
      <c r="B371" s="15" t="s">
        <v>2189</v>
      </c>
      <c r="C371" s="15">
        <v>18141012</v>
      </c>
      <c r="D371" s="15">
        <v>18660920</v>
      </c>
      <c r="F371" s="27" t="s">
        <v>683</v>
      </c>
      <c r="H371" s="28" t="s">
        <v>606</v>
      </c>
      <c r="I371" s="15" t="s">
        <v>613</v>
      </c>
      <c r="J371" s="27" t="str">
        <f>IF( F371 = "Sovereign", "x", "" )</f>
        <v>x</v>
      </c>
      <c r="K371" s="15">
        <f>( $C371&lt;=$Q$1 )*( $D371 &gt; $Q$1 ) * 1</f>
        <v>0</v>
      </c>
      <c r="L371" s="19"/>
      <c r="M371" s="19"/>
      <c r="O371" s="19">
        <v>370</v>
      </c>
    </row>
    <row r="372" spans="1:15" x14ac:dyDescent="0.2">
      <c r="A372" s="29" t="s">
        <v>2194</v>
      </c>
      <c r="B372" s="15" t="s">
        <v>2192</v>
      </c>
      <c r="C372" s="15">
        <v>18061226</v>
      </c>
      <c r="D372" s="15">
        <v>18710118</v>
      </c>
      <c r="F372" s="27" t="s">
        <v>683</v>
      </c>
      <c r="H372" s="28" t="s">
        <v>606</v>
      </c>
      <c r="I372" s="15" t="s">
        <v>613</v>
      </c>
      <c r="J372" s="27" t="str">
        <f>IF( F372 = "Sovereign", "x", "" )</f>
        <v>x</v>
      </c>
      <c r="K372" s="15">
        <f>( $C372&lt;=$Q$1 )*( $D372 &gt; $Q$1 ) * 1</f>
        <v>0</v>
      </c>
      <c r="L372" s="19"/>
      <c r="M372" s="19"/>
      <c r="O372" s="19">
        <v>371</v>
      </c>
    </row>
    <row r="373" spans="1:15" x14ac:dyDescent="0.2">
      <c r="A373" s="29" t="s">
        <v>2197</v>
      </c>
      <c r="B373" s="15" t="s">
        <v>2198</v>
      </c>
      <c r="C373" s="15">
        <v>18061024</v>
      </c>
      <c r="D373" s="15">
        <v>18710118</v>
      </c>
      <c r="F373" s="27" t="s">
        <v>683</v>
      </c>
      <c r="H373" s="28" t="s">
        <v>606</v>
      </c>
      <c r="I373" s="15" t="s">
        <v>613</v>
      </c>
      <c r="J373" s="27" t="str">
        <f>IF( F373 = "Sovereign", "x", "" )</f>
        <v>x</v>
      </c>
      <c r="K373" s="15">
        <f>( $C373&lt;=$Q$1 )*( $D373 &gt; $Q$1 ) * 1</f>
        <v>0</v>
      </c>
      <c r="L373" s="19"/>
      <c r="M373" s="19"/>
      <c r="O373" s="19">
        <v>372</v>
      </c>
    </row>
    <row r="374" spans="1:15" x14ac:dyDescent="0.2">
      <c r="A374" s="29" t="s">
        <v>2203</v>
      </c>
      <c r="B374" s="15" t="s">
        <v>2199</v>
      </c>
      <c r="C374" s="15">
        <v>18150608</v>
      </c>
      <c r="D374" s="15">
        <v>18710118</v>
      </c>
      <c r="F374" s="27" t="s">
        <v>683</v>
      </c>
      <c r="H374" s="28" t="s">
        <v>606</v>
      </c>
      <c r="I374" s="15" t="s">
        <v>613</v>
      </c>
      <c r="J374" s="27" t="str">
        <f>IF( F374 = "Sovereign", "x", "" )</f>
        <v>x</v>
      </c>
      <c r="K374" s="15">
        <f>( $C374&lt;=$Q$1 )*( $D374 &gt; $Q$1 ) * 1</f>
        <v>0</v>
      </c>
      <c r="L374" s="19"/>
      <c r="M374" s="19"/>
      <c r="O374" s="19">
        <v>373</v>
      </c>
    </row>
    <row r="375" spans="1:15" x14ac:dyDescent="0.2">
      <c r="A375" s="29" t="s">
        <v>2211</v>
      </c>
      <c r="B375" s="15" t="s">
        <v>2209</v>
      </c>
      <c r="C375" s="15">
        <v>19490523</v>
      </c>
      <c r="D375" s="15">
        <v>19901003</v>
      </c>
      <c r="F375" s="27" t="s">
        <v>683</v>
      </c>
      <c r="H375" s="28" t="s">
        <v>606</v>
      </c>
      <c r="I375" s="15" t="s">
        <v>2225</v>
      </c>
      <c r="J375" s="27" t="str">
        <f>IF( F375 = "Sovereign", "x", "" )</f>
        <v>x</v>
      </c>
      <c r="K375" s="15">
        <f>( $C375&lt;=$Q$1 )*( $D375 &gt; $Q$1 ) * 1</f>
        <v>0</v>
      </c>
      <c r="L375" s="19"/>
      <c r="M375" s="19"/>
      <c r="O375" s="19">
        <v>374</v>
      </c>
    </row>
    <row r="376" spans="1:15" x14ac:dyDescent="0.2">
      <c r="A376" s="29" t="s">
        <v>2212</v>
      </c>
      <c r="B376" s="15" t="s">
        <v>2210</v>
      </c>
      <c r="C376" s="15">
        <v>19490523</v>
      </c>
      <c r="D376" s="15">
        <v>19901003</v>
      </c>
      <c r="F376" s="27" t="s">
        <v>683</v>
      </c>
      <c r="H376" s="28" t="s">
        <v>606</v>
      </c>
      <c r="I376" s="15" t="s">
        <v>2225</v>
      </c>
      <c r="J376" s="27" t="str">
        <f>IF( F376 = "Sovereign", "x", "" )</f>
        <v>x</v>
      </c>
      <c r="K376" s="15">
        <f>( $C376&lt;=$Q$1 )*( $D376 &gt; $Q$1 ) * 1</f>
        <v>0</v>
      </c>
      <c r="L376" s="19"/>
      <c r="M376" s="19"/>
      <c r="O376" s="19">
        <v>375</v>
      </c>
    </row>
    <row r="377" spans="1:15" x14ac:dyDescent="0.2">
      <c r="A377" s="29" t="s">
        <v>2208</v>
      </c>
      <c r="B377" s="15" t="s">
        <v>57</v>
      </c>
      <c r="C377" s="15">
        <v>19901003</v>
      </c>
      <c r="D377" s="15">
        <v>20261231</v>
      </c>
      <c r="E377" s="15" t="s">
        <v>2401</v>
      </c>
      <c r="F377" s="27" t="s">
        <v>683</v>
      </c>
      <c r="H377" s="28" t="s">
        <v>606</v>
      </c>
      <c r="I377" s="15" t="s">
        <v>2213</v>
      </c>
      <c r="J377" s="27" t="str">
        <f>IF( F377 = "Sovereign", "x", "" )</f>
        <v>x</v>
      </c>
      <c r="K377" s="15">
        <f>( $C377&lt;=$Q$1 )*( $D377 &gt; $Q$1 ) * 1</f>
        <v>1</v>
      </c>
      <c r="L377" s="19"/>
      <c r="M377" s="19"/>
      <c r="O377" s="19">
        <v>376</v>
      </c>
    </row>
    <row r="378" spans="1:15" x14ac:dyDescent="0.2">
      <c r="A378" s="29" t="s">
        <v>2217</v>
      </c>
      <c r="B378" s="15" t="s">
        <v>2221</v>
      </c>
      <c r="C378" s="15">
        <v>19450508</v>
      </c>
      <c r="D378" s="15">
        <v>19490523</v>
      </c>
      <c r="E378" s="15" t="s">
        <v>2403</v>
      </c>
      <c r="F378" s="27" t="s">
        <v>684</v>
      </c>
      <c r="G378" s="27" t="s">
        <v>698</v>
      </c>
      <c r="H378" s="28" t="s">
        <v>606</v>
      </c>
      <c r="I378" s="15" t="s">
        <v>994</v>
      </c>
      <c r="J378" s="27" t="str">
        <f>IF( F378 = "Sovereign", "x", "" )</f>
        <v/>
      </c>
      <c r="K378" s="15">
        <f>( $C378&lt;=$Q$1 )*( $D378 &gt; $Q$1 ) * 1</f>
        <v>0</v>
      </c>
      <c r="L378" s="19"/>
      <c r="M378" s="19"/>
      <c r="O378" s="19">
        <v>377</v>
      </c>
    </row>
    <row r="379" spans="1:15" x14ac:dyDescent="0.2">
      <c r="A379" s="29" t="s">
        <v>2218</v>
      </c>
      <c r="B379" s="15" t="s">
        <v>2222</v>
      </c>
      <c r="C379" s="15">
        <v>19450508</v>
      </c>
      <c r="D379" s="15">
        <v>19490523</v>
      </c>
      <c r="E379" s="15" t="s">
        <v>2404</v>
      </c>
      <c r="F379" s="27" t="s">
        <v>684</v>
      </c>
      <c r="G379" s="27" t="s">
        <v>173</v>
      </c>
      <c r="H379" s="28" t="s">
        <v>606</v>
      </c>
      <c r="I379" s="15" t="s">
        <v>994</v>
      </c>
      <c r="J379" s="27" t="str">
        <f>IF( F379 = "Sovereign", "x", "" )</f>
        <v/>
      </c>
      <c r="K379" s="15">
        <f>( $C379&lt;=$Q$1 )*( $D379 &gt; $Q$1 ) * 1</f>
        <v>0</v>
      </c>
      <c r="L379" s="19"/>
      <c r="M379" s="19"/>
      <c r="O379" s="19">
        <v>378</v>
      </c>
    </row>
    <row r="380" spans="1:15" x14ac:dyDescent="0.2">
      <c r="A380" s="29" t="s">
        <v>2220</v>
      </c>
      <c r="B380" s="15" t="s">
        <v>2223</v>
      </c>
      <c r="C380" s="15">
        <v>19450508</v>
      </c>
      <c r="D380" s="15">
        <v>19490523</v>
      </c>
      <c r="F380" s="27" t="s">
        <v>684</v>
      </c>
      <c r="G380" s="27" t="s">
        <v>2226</v>
      </c>
      <c r="H380" s="28" t="s">
        <v>606</v>
      </c>
      <c r="I380" s="15" t="s">
        <v>994</v>
      </c>
      <c r="J380" s="27" t="str">
        <f>IF( F380 = "Sovereign", "x", "" )</f>
        <v/>
      </c>
      <c r="K380" s="15">
        <f>( $C380&lt;=$Q$1 )*( $D380 &gt; $Q$1 ) * 1</f>
        <v>0</v>
      </c>
      <c r="L380" s="19"/>
      <c r="M380" s="19"/>
      <c r="O380" s="19">
        <v>379</v>
      </c>
    </row>
    <row r="381" spans="1:15" x14ac:dyDescent="0.2">
      <c r="A381" s="29" t="s">
        <v>2219</v>
      </c>
      <c r="B381" s="15" t="s">
        <v>2224</v>
      </c>
      <c r="C381" s="15">
        <v>19450508</v>
      </c>
      <c r="D381" s="15">
        <v>19490523</v>
      </c>
      <c r="E381" s="15" t="s">
        <v>2408</v>
      </c>
      <c r="F381" s="27" t="s">
        <v>684</v>
      </c>
      <c r="G381" s="27" t="s">
        <v>184</v>
      </c>
      <c r="H381" s="28" t="s">
        <v>606</v>
      </c>
      <c r="I381" s="15" t="s">
        <v>994</v>
      </c>
      <c r="J381" s="27" t="str">
        <f>IF( F381 = "Sovereign", "x", "" )</f>
        <v/>
      </c>
      <c r="K381" s="15">
        <f>( $C381&lt;=$Q$1 )*( $D381 &gt; $Q$1 ) * 1</f>
        <v>0</v>
      </c>
      <c r="L381" s="19"/>
      <c r="M381" s="19"/>
      <c r="O381" s="19">
        <v>380</v>
      </c>
    </row>
    <row r="382" spans="1:15" x14ac:dyDescent="0.2">
      <c r="A382" s="29" t="s">
        <v>984</v>
      </c>
      <c r="B382" s="15" t="s">
        <v>55</v>
      </c>
      <c r="C382" s="15">
        <v>19171206</v>
      </c>
      <c r="D382" s="15">
        <v>20261231</v>
      </c>
      <c r="F382" s="27" t="s">
        <v>683</v>
      </c>
      <c r="H382" s="28" t="s">
        <v>606</v>
      </c>
      <c r="I382" s="15" t="s">
        <v>2232</v>
      </c>
      <c r="J382" s="27" t="str">
        <f>IF( F382 = "Sovereign", "x", "" )</f>
        <v>x</v>
      </c>
      <c r="K382" s="15">
        <f>( $C382&lt;=$Q$1 )*( $D382 &gt; $Q$1 ) * 1</f>
        <v>1</v>
      </c>
      <c r="L382" s="19"/>
      <c r="N382" s="15" t="s">
        <v>256</v>
      </c>
      <c r="O382" s="19">
        <v>381</v>
      </c>
    </row>
    <row r="383" spans="1:15" x14ac:dyDescent="0.2">
      <c r="A383" s="29" t="s">
        <v>2232</v>
      </c>
      <c r="B383" s="15" t="s">
        <v>55</v>
      </c>
      <c r="C383" s="15">
        <v>18090917</v>
      </c>
      <c r="D383" s="15">
        <v>19171206</v>
      </c>
      <c r="F383" s="27" t="s">
        <v>684</v>
      </c>
      <c r="G383" s="27" t="s">
        <v>1879</v>
      </c>
      <c r="H383" s="28" t="s">
        <v>606</v>
      </c>
      <c r="I383" s="15" t="s">
        <v>613</v>
      </c>
      <c r="J383" s="27" t="str">
        <f>IF( F383 = "Sovereign", "x", "" )</f>
        <v/>
      </c>
      <c r="K383" s="15">
        <f>( $C383&lt;=$Q$1 )*( $D383 &gt; $Q$1 ) * 1</f>
        <v>0</v>
      </c>
      <c r="L383" s="19"/>
      <c r="M383" s="19"/>
      <c r="O383" s="19">
        <v>382</v>
      </c>
    </row>
    <row r="384" spans="1:15" x14ac:dyDescent="0.2">
      <c r="A384" s="29" t="s">
        <v>986</v>
      </c>
      <c r="B384" s="15" t="s">
        <v>156</v>
      </c>
      <c r="C384" s="15">
        <v>15230101</v>
      </c>
      <c r="D384" s="15">
        <v>20261231</v>
      </c>
      <c r="F384" s="27" t="s">
        <v>683</v>
      </c>
      <c r="H384" s="28" t="s">
        <v>606</v>
      </c>
      <c r="I384" s="15" t="s">
        <v>613</v>
      </c>
      <c r="J384" s="27" t="str">
        <f>IF( F384 = "Sovereign", "x", "" )</f>
        <v>x</v>
      </c>
      <c r="K384" s="15">
        <f>( $C384&lt;=$Q$1 )*( $D384 &gt; $Q$1 ) * 1</f>
        <v>1</v>
      </c>
      <c r="L384" s="19"/>
      <c r="N384" s="15" t="s">
        <v>369</v>
      </c>
      <c r="O384" s="19">
        <v>383</v>
      </c>
    </row>
    <row r="385" spans="1:19" x14ac:dyDescent="0.2">
      <c r="A385" s="29" t="s">
        <v>2243</v>
      </c>
      <c r="B385" s="15" t="s">
        <v>186</v>
      </c>
      <c r="C385" s="15">
        <v>18140114</v>
      </c>
      <c r="D385" s="15">
        <v>20261231</v>
      </c>
      <c r="F385" s="27" t="s">
        <v>683</v>
      </c>
      <c r="H385" s="28" t="s">
        <v>606</v>
      </c>
      <c r="I385" s="15" t="s">
        <v>2164</v>
      </c>
      <c r="J385" s="27" t="str">
        <f>IF( F385 = "Sovereign", "x", "" )</f>
        <v>x</v>
      </c>
      <c r="K385" s="15">
        <f>( $C385&lt;=$Q$1 )*( $D385 &gt; $Q$1 ) * 1</f>
        <v>1</v>
      </c>
      <c r="L385" s="19"/>
      <c r="N385" s="15" t="s">
        <v>333</v>
      </c>
      <c r="O385" s="19">
        <v>384</v>
      </c>
      <c r="S385" s="17"/>
    </row>
    <row r="386" spans="1:19" x14ac:dyDescent="0.2">
      <c r="A386" s="29" t="s">
        <v>2244</v>
      </c>
      <c r="B386" s="15" t="s">
        <v>769</v>
      </c>
      <c r="C386" s="15">
        <v>19200209</v>
      </c>
      <c r="D386" s="15">
        <v>20261231</v>
      </c>
      <c r="F386" s="27" t="s">
        <v>684</v>
      </c>
      <c r="G386" s="27" t="s">
        <v>186</v>
      </c>
      <c r="H386" s="15" t="s">
        <v>606</v>
      </c>
      <c r="I386" s="15" t="s">
        <v>613</v>
      </c>
      <c r="J386" s="27" t="str">
        <f>IF( F386 = "Sovereign", "x", "" )</f>
        <v/>
      </c>
      <c r="K386" s="15">
        <f>( $C386&lt;=$Q$1 )*( $D386 &gt; $Q$1 ) * 1</f>
        <v>1</v>
      </c>
      <c r="L386" s="19"/>
      <c r="M386" s="15" t="s">
        <v>769</v>
      </c>
      <c r="N386" s="15" t="s">
        <v>879</v>
      </c>
      <c r="O386" s="19">
        <v>385</v>
      </c>
    </row>
    <row r="387" spans="1:19" x14ac:dyDescent="0.2">
      <c r="A387" s="29" t="s">
        <v>2254</v>
      </c>
      <c r="B387" s="15" t="s">
        <v>173</v>
      </c>
      <c r="C387" s="15">
        <v>19221206</v>
      </c>
      <c r="D387" s="15">
        <v>20261231</v>
      </c>
      <c r="E387" s="15" t="s">
        <v>2400</v>
      </c>
      <c r="F387" s="27" t="s">
        <v>683</v>
      </c>
      <c r="H387" s="28" t="s">
        <v>606</v>
      </c>
      <c r="I387" s="15" t="s">
        <v>982</v>
      </c>
      <c r="J387" s="27" t="str">
        <f>IF( F387 = "Sovereign", "x", "" )</f>
        <v>x</v>
      </c>
      <c r="K387" s="15">
        <f>( $C387&lt;=$Q$1 )*( $D387 &gt; $Q$1 ) * 1</f>
        <v>1</v>
      </c>
      <c r="L387" s="19"/>
      <c r="N387" s="15" t="s">
        <v>388</v>
      </c>
      <c r="O387" s="19">
        <v>386</v>
      </c>
    </row>
    <row r="388" spans="1:19" x14ac:dyDescent="0.2">
      <c r="A388" s="29" t="s">
        <v>982</v>
      </c>
      <c r="B388" s="15" t="s">
        <v>173</v>
      </c>
      <c r="C388" s="15">
        <v>18010101</v>
      </c>
      <c r="D388" s="15">
        <v>19221206</v>
      </c>
      <c r="E388" s="15" t="s">
        <v>2400</v>
      </c>
      <c r="F388" s="27" t="s">
        <v>683</v>
      </c>
      <c r="H388" s="28" t="s">
        <v>606</v>
      </c>
      <c r="I388" s="15" t="s">
        <v>2375</v>
      </c>
      <c r="J388" s="27" t="str">
        <f>IF( F388 = "Sovereign", "x", "" )</f>
        <v>x</v>
      </c>
      <c r="K388" s="15">
        <f>( $C388&lt;=$Q$1 )*( $D388 &gt; $Q$1 ) * 1</f>
        <v>0</v>
      </c>
      <c r="L388" s="19"/>
      <c r="N388" s="15" t="s">
        <v>388</v>
      </c>
      <c r="O388" s="19">
        <v>387</v>
      </c>
    </row>
    <row r="389" spans="1:19" x14ac:dyDescent="0.2">
      <c r="A389" s="29" t="s">
        <v>2253</v>
      </c>
      <c r="B389" s="15" t="s">
        <v>173</v>
      </c>
      <c r="C389" s="15">
        <v>17070501</v>
      </c>
      <c r="D389" s="15">
        <v>18010101</v>
      </c>
      <c r="E389" s="15" t="s">
        <v>2400</v>
      </c>
      <c r="F389" s="27" t="s">
        <v>683</v>
      </c>
      <c r="H389" s="28" t="s">
        <v>606</v>
      </c>
      <c r="I389" s="15" t="s">
        <v>613</v>
      </c>
      <c r="J389" s="27" t="str">
        <f>IF( F389 = "Sovereign", "x", "" )</f>
        <v>x</v>
      </c>
      <c r="K389" s="15">
        <f>( $C389&lt;=$Q$1 )*( $D389 &gt; $Q$1 ) * 1</f>
        <v>0</v>
      </c>
      <c r="L389" s="19"/>
      <c r="N389" s="15" t="s">
        <v>388</v>
      </c>
      <c r="O389" s="19">
        <v>388</v>
      </c>
    </row>
    <row r="390" spans="1:19" x14ac:dyDescent="0.2">
      <c r="A390" s="29" t="s">
        <v>2111</v>
      </c>
      <c r="B390" s="15" t="s">
        <v>770</v>
      </c>
      <c r="C390" s="15">
        <v>18140114</v>
      </c>
      <c r="D390" s="15">
        <v>20261231</v>
      </c>
      <c r="E390" s="15" t="s">
        <v>2416</v>
      </c>
      <c r="F390" s="27" t="s">
        <v>684</v>
      </c>
      <c r="G390" s="27" t="s">
        <v>41</v>
      </c>
      <c r="H390" s="15" t="s">
        <v>606</v>
      </c>
      <c r="I390" s="15" t="s">
        <v>613</v>
      </c>
      <c r="J390" s="27" t="str">
        <f>IF( F390 = "Sovereign", "x", "" )</f>
        <v/>
      </c>
      <c r="K390" s="15">
        <f>( $C390&lt;=$Q$1 )*( $D390 &gt; $Q$1 ) * 1</f>
        <v>1</v>
      </c>
      <c r="L390" s="19"/>
      <c r="M390" s="15" t="s">
        <v>770</v>
      </c>
      <c r="N390" s="15" t="s">
        <v>880</v>
      </c>
      <c r="O390" s="19">
        <v>389</v>
      </c>
    </row>
    <row r="391" spans="1:19" x14ac:dyDescent="0.2">
      <c r="A391" s="29" t="s">
        <v>2246</v>
      </c>
      <c r="B391" s="15" t="s">
        <v>73</v>
      </c>
      <c r="C391" s="15">
        <v>19490418</v>
      </c>
      <c r="D391" s="15">
        <v>20261231</v>
      </c>
      <c r="F391" s="27" t="s">
        <v>683</v>
      </c>
      <c r="H391" s="28" t="s">
        <v>606</v>
      </c>
      <c r="I391" s="15" t="s">
        <v>982</v>
      </c>
      <c r="J391" s="27" t="str">
        <f>IF( F391 = "Sovereign", "x", "" )</f>
        <v>x</v>
      </c>
      <c r="K391" s="15">
        <f>( $C391&lt;=$Q$1 )*( $D391 &gt; $Q$1 ) * 1</f>
        <v>1</v>
      </c>
      <c r="L391" s="19"/>
      <c r="N391" s="15" t="s">
        <v>286</v>
      </c>
      <c r="O391" s="19">
        <v>390</v>
      </c>
    </row>
    <row r="392" spans="1:19" x14ac:dyDescent="0.2">
      <c r="A392" s="29" t="s">
        <v>2374</v>
      </c>
      <c r="B392" s="15" t="s">
        <v>73</v>
      </c>
      <c r="C392" s="15">
        <v>15410101</v>
      </c>
      <c r="D392" s="15">
        <v>18010101</v>
      </c>
      <c r="F392" s="27" t="s">
        <v>683</v>
      </c>
      <c r="H392" s="28" t="s">
        <v>606</v>
      </c>
      <c r="I392" s="15" t="s">
        <v>613</v>
      </c>
      <c r="J392" s="27" t="str">
        <f>IF( F392 = "Sovereign", "x", "" )</f>
        <v>x</v>
      </c>
      <c r="K392" s="15">
        <f>( $C392&lt;=$Q$1 )*( $D392 &gt; $Q$1 ) * 1</f>
        <v>0</v>
      </c>
      <c r="L392" s="19"/>
      <c r="M392" s="19"/>
      <c r="O392" s="19">
        <v>391</v>
      </c>
    </row>
    <row r="393" spans="1:19" x14ac:dyDescent="0.2">
      <c r="A393" s="29" t="s">
        <v>2262</v>
      </c>
      <c r="B393" s="15" t="s">
        <v>68</v>
      </c>
      <c r="C393" s="15">
        <v>19181201</v>
      </c>
      <c r="D393" s="15">
        <v>20261231</v>
      </c>
      <c r="F393" s="27" t="s">
        <v>683</v>
      </c>
      <c r="H393" s="28" t="s">
        <v>606</v>
      </c>
      <c r="I393" s="15" t="s">
        <v>2263</v>
      </c>
      <c r="J393" s="27" t="str">
        <f>IF( F393 = "Sovereign", "x", "" )</f>
        <v>x</v>
      </c>
      <c r="K393" s="15">
        <f>( $C393&lt;=$Q$1 )*( $D393 &gt; $Q$1 ) * 1</f>
        <v>1</v>
      </c>
      <c r="L393" s="19"/>
      <c r="N393" s="15" t="s">
        <v>276</v>
      </c>
      <c r="O393" s="19">
        <v>392</v>
      </c>
    </row>
    <row r="394" spans="1:19" x14ac:dyDescent="0.2">
      <c r="A394" s="29" t="s">
        <v>2263</v>
      </c>
      <c r="B394" s="15" t="s">
        <v>68</v>
      </c>
      <c r="C394" s="15">
        <v>18140114</v>
      </c>
      <c r="D394" s="15">
        <v>19181201</v>
      </c>
      <c r="E394" s="15" t="s">
        <v>2416</v>
      </c>
      <c r="F394" s="27" t="s">
        <v>684</v>
      </c>
      <c r="G394" s="27" t="s">
        <v>41</v>
      </c>
      <c r="H394" s="28" t="s">
        <v>606</v>
      </c>
      <c r="I394" s="15" t="s">
        <v>2164</v>
      </c>
      <c r="J394" s="27" t="str">
        <f>IF( F394 = "Sovereign", "x", "" )</f>
        <v/>
      </c>
      <c r="K394" s="15">
        <f>( $C394&lt;=$Q$1 )*( $D394 &gt; $Q$1 ) * 1</f>
        <v>0</v>
      </c>
      <c r="L394" s="19"/>
      <c r="M394" s="19"/>
      <c r="O394" s="19">
        <v>393</v>
      </c>
    </row>
    <row r="395" spans="1:19" x14ac:dyDescent="0.2">
      <c r="A395" s="29" t="s">
        <v>2030</v>
      </c>
      <c r="B395" s="15" t="s">
        <v>269</v>
      </c>
      <c r="C395" s="15">
        <v>19730710</v>
      </c>
      <c r="D395" s="15">
        <v>20261231</v>
      </c>
      <c r="F395" s="27" t="s">
        <v>683</v>
      </c>
      <c r="H395" s="28" t="s">
        <v>607</v>
      </c>
      <c r="I395" s="15" t="s">
        <v>2029</v>
      </c>
      <c r="J395" s="27" t="str">
        <f>IF( F395 = "Sovereign", "x", "" )</f>
        <v>x</v>
      </c>
      <c r="K395" s="15">
        <f>( $C395&lt;=$Q$1 )*( $D395 &gt; $Q$1 ) * 1</f>
        <v>1</v>
      </c>
      <c r="L395" s="19"/>
      <c r="M395" s="15" t="s">
        <v>682</v>
      </c>
      <c r="N395" s="15" t="s">
        <v>282</v>
      </c>
      <c r="O395" s="19">
        <v>394</v>
      </c>
    </row>
    <row r="396" spans="1:19" x14ac:dyDescent="0.2">
      <c r="A396" s="29" t="s">
        <v>2029</v>
      </c>
      <c r="B396" s="17" t="s">
        <v>686</v>
      </c>
      <c r="C396" s="15">
        <v>17180101</v>
      </c>
      <c r="D396" s="15">
        <v>19730710</v>
      </c>
      <c r="E396" s="15" t="s">
        <v>2404</v>
      </c>
      <c r="F396" s="20" t="s">
        <v>684</v>
      </c>
      <c r="G396" s="20" t="s">
        <v>173</v>
      </c>
      <c r="H396" s="28" t="s">
        <v>607</v>
      </c>
      <c r="I396" s="15" t="s">
        <v>613</v>
      </c>
      <c r="J396" s="27" t="str">
        <f>IF( F396 = "Sovereign", "x", "" )</f>
        <v/>
      </c>
      <c r="K396" s="15">
        <f>( $C396&lt;=$Q$1 )*( $D396 &gt; $Q$1 ) * 1</f>
        <v>0</v>
      </c>
      <c r="L396" s="19"/>
      <c r="M396" s="15" t="s">
        <v>685</v>
      </c>
      <c r="N396" s="15" t="s">
        <v>282</v>
      </c>
      <c r="O396" s="19">
        <v>395</v>
      </c>
    </row>
    <row r="397" spans="1:19" x14ac:dyDescent="0.2">
      <c r="A397" s="29" t="s">
        <v>1000</v>
      </c>
      <c r="B397" s="15" t="s">
        <v>13</v>
      </c>
      <c r="C397" s="15">
        <v>19661130</v>
      </c>
      <c r="D397" s="15">
        <v>20261231</v>
      </c>
      <c r="F397" s="27" t="s">
        <v>683</v>
      </c>
      <c r="H397" s="28" t="s">
        <v>607</v>
      </c>
      <c r="I397" s="15" t="s">
        <v>2033</v>
      </c>
      <c r="J397" s="27" t="str">
        <f>IF( F397 = "Sovereign", "x", "" )</f>
        <v>x</v>
      </c>
      <c r="K397" s="15">
        <f>( $C397&lt;=$Q$1 )*( $D397 &gt; $Q$1 ) * 1</f>
        <v>1</v>
      </c>
      <c r="L397" s="19"/>
      <c r="N397" s="15" t="s">
        <v>204</v>
      </c>
      <c r="O397" s="19">
        <v>396</v>
      </c>
    </row>
    <row r="398" spans="1:19" x14ac:dyDescent="0.2">
      <c r="A398" s="29" t="s">
        <v>2033</v>
      </c>
      <c r="B398" s="15" t="s">
        <v>13</v>
      </c>
      <c r="C398" s="15">
        <v>16270217</v>
      </c>
      <c r="D398" s="15">
        <v>19661130</v>
      </c>
      <c r="E398" s="15" t="s">
        <v>2404</v>
      </c>
      <c r="F398" s="27" t="s">
        <v>684</v>
      </c>
      <c r="G398" s="27" t="s">
        <v>173</v>
      </c>
      <c r="H398" s="28" t="s">
        <v>607</v>
      </c>
      <c r="I398" s="15" t="s">
        <v>613</v>
      </c>
      <c r="J398" s="27" t="str">
        <f>IF( F398 = "Sovereign", "x", "" )</f>
        <v/>
      </c>
      <c r="K398" s="15">
        <f>( $C398&lt;=$Q$1 )*( $D398 &gt; $Q$1 ) * 1</f>
        <v>0</v>
      </c>
      <c r="L398" s="19"/>
      <c r="M398" s="19"/>
      <c r="O398" s="19">
        <v>397</v>
      </c>
    </row>
    <row r="399" spans="1:19" x14ac:dyDescent="0.2">
      <c r="A399" s="29" t="s">
        <v>853</v>
      </c>
      <c r="B399" s="15" t="s">
        <v>762</v>
      </c>
      <c r="C399" s="15">
        <v>19860101</v>
      </c>
      <c r="D399" s="15">
        <v>20261231</v>
      </c>
      <c r="E399" s="15" t="s">
        <v>2406</v>
      </c>
      <c r="F399" s="27" t="s">
        <v>684</v>
      </c>
      <c r="G399" s="27" t="s">
        <v>112</v>
      </c>
      <c r="H399" s="15" t="s">
        <v>607</v>
      </c>
      <c r="I399" s="15" t="s">
        <v>856</v>
      </c>
      <c r="J399" s="27" t="str">
        <f>IF( F399 = "Sovereign", "x", "" )</f>
        <v/>
      </c>
      <c r="K399" s="15">
        <f>( $C399&lt;=$Q$1 )*( $D399 &gt; $Q$1 ) * 1</f>
        <v>1</v>
      </c>
      <c r="L399" s="19"/>
      <c r="M399" s="15" t="s">
        <v>851</v>
      </c>
      <c r="N399" s="15" t="s">
        <v>852</v>
      </c>
      <c r="O399" s="19">
        <v>398</v>
      </c>
    </row>
    <row r="400" spans="1:19" x14ac:dyDescent="0.2">
      <c r="A400" s="29" t="s">
        <v>862</v>
      </c>
      <c r="B400" s="15" t="s">
        <v>776</v>
      </c>
      <c r="C400" s="15">
        <v>20101010</v>
      </c>
      <c r="D400" s="15">
        <v>20261231</v>
      </c>
      <c r="E400" s="15" t="s">
        <v>2406</v>
      </c>
      <c r="F400" s="27" t="s">
        <v>684</v>
      </c>
      <c r="G400" s="27" t="s">
        <v>112</v>
      </c>
      <c r="H400" s="15" t="s">
        <v>607</v>
      </c>
      <c r="I400" s="15" t="s">
        <v>856</v>
      </c>
      <c r="J400" s="27" t="str">
        <f>IF( F400 = "Sovereign", "x", "" )</f>
        <v/>
      </c>
      <c r="K400" s="15">
        <f>( $C400&lt;=$Q$1 )*( $D400 &gt; $Q$1 ) * 1</f>
        <v>1</v>
      </c>
      <c r="L400" s="19"/>
      <c r="M400" s="15" t="s">
        <v>776</v>
      </c>
      <c r="N400" s="15" t="s">
        <v>863</v>
      </c>
      <c r="O400" s="19">
        <v>399</v>
      </c>
    </row>
    <row r="401" spans="1:15" x14ac:dyDescent="0.2">
      <c r="A401" s="29" t="s">
        <v>861</v>
      </c>
      <c r="B401" s="15" t="s">
        <v>763</v>
      </c>
      <c r="C401" s="15">
        <v>20101010</v>
      </c>
      <c r="D401" s="15">
        <v>20261231</v>
      </c>
      <c r="E401" s="15" t="s">
        <v>2406</v>
      </c>
      <c r="F401" s="27" t="s">
        <v>684</v>
      </c>
      <c r="G401" s="27" t="s">
        <v>112</v>
      </c>
      <c r="H401" s="15" t="s">
        <v>607</v>
      </c>
      <c r="I401" s="15" t="s">
        <v>856</v>
      </c>
      <c r="J401" s="27" t="str">
        <f>IF( F401 = "Sovereign", "x", "" )</f>
        <v/>
      </c>
      <c r="K401" s="15">
        <f>( $C401&lt;=$Q$1 )*( $D401 &gt; $Q$1 ) * 1</f>
        <v>1</v>
      </c>
      <c r="L401" s="19"/>
      <c r="M401" s="15" t="s">
        <v>860</v>
      </c>
      <c r="N401" s="15" t="s">
        <v>855</v>
      </c>
      <c r="O401" s="19">
        <v>400</v>
      </c>
    </row>
    <row r="402" spans="1:15" x14ac:dyDescent="0.2">
      <c r="A402" s="29" t="s">
        <v>1016</v>
      </c>
      <c r="B402" s="15" t="s">
        <v>165</v>
      </c>
      <c r="C402" s="15">
        <v>19620831</v>
      </c>
      <c r="D402" s="15">
        <v>20261231</v>
      </c>
      <c r="F402" s="27" t="s">
        <v>683</v>
      </c>
      <c r="H402" s="28" t="s">
        <v>607</v>
      </c>
      <c r="I402" s="15" t="s">
        <v>2041</v>
      </c>
      <c r="J402" s="27" t="str">
        <f>IF( F402 = "Sovereign", "x", "" )</f>
        <v>x</v>
      </c>
      <c r="K402" s="15">
        <f>( $C402&lt;=$Q$1 )*( $D402 &gt; $Q$1 ) * 1</f>
        <v>1</v>
      </c>
      <c r="L402" s="19"/>
      <c r="N402" s="15" t="s">
        <v>380</v>
      </c>
      <c r="O402" s="19">
        <v>401</v>
      </c>
    </row>
    <row r="403" spans="1:15" x14ac:dyDescent="0.2">
      <c r="A403" s="29" t="s">
        <v>2041</v>
      </c>
      <c r="B403" s="15" t="s">
        <v>165</v>
      </c>
      <c r="C403" s="15">
        <v>18140530</v>
      </c>
      <c r="D403" s="15">
        <v>19620831</v>
      </c>
      <c r="E403" s="15" t="s">
        <v>2404</v>
      </c>
      <c r="F403" s="27" t="s">
        <v>684</v>
      </c>
      <c r="G403" s="27" t="s">
        <v>173</v>
      </c>
      <c r="H403" s="28" t="s">
        <v>607</v>
      </c>
      <c r="I403" s="15" t="s">
        <v>613</v>
      </c>
      <c r="J403" s="27" t="str">
        <f>IF( F403 = "Sovereign", "x", "" )</f>
        <v/>
      </c>
      <c r="K403" s="15">
        <f>( $C403&lt;=$Q$1 )*( $D403 &gt; $Q$1 ) * 1</f>
        <v>0</v>
      </c>
      <c r="L403" s="19"/>
      <c r="M403" s="19"/>
      <c r="O403" s="19">
        <v>402</v>
      </c>
    </row>
    <row r="404" spans="1:15" x14ac:dyDescent="0.2">
      <c r="A404" s="29" t="s">
        <v>1002</v>
      </c>
      <c r="B404" s="15" t="s">
        <v>60</v>
      </c>
      <c r="C404" s="15">
        <v>19740207</v>
      </c>
      <c r="D404" s="15">
        <v>20261231</v>
      </c>
      <c r="F404" s="27" t="s">
        <v>683</v>
      </c>
      <c r="H404" s="28" t="s">
        <v>607</v>
      </c>
      <c r="I404" s="15" t="s">
        <v>2047</v>
      </c>
      <c r="J404" s="27" t="str">
        <f>IF( F404 = "Sovereign", "x", "" )</f>
        <v>x</v>
      </c>
      <c r="K404" s="15">
        <f>( $C404&lt;=$Q$1 )*( $D404 &gt; $Q$1 ) * 1</f>
        <v>1</v>
      </c>
      <c r="L404" s="19"/>
      <c r="N404" s="15" t="s">
        <v>264</v>
      </c>
      <c r="O404" s="19">
        <v>403</v>
      </c>
    </row>
    <row r="405" spans="1:15" x14ac:dyDescent="0.2">
      <c r="A405" s="26" t="s">
        <v>2047</v>
      </c>
      <c r="B405" s="15" t="s">
        <v>60</v>
      </c>
      <c r="C405" s="15">
        <v>17830903</v>
      </c>
      <c r="D405" s="15">
        <v>19740207</v>
      </c>
      <c r="E405" s="15" t="s">
        <v>2404</v>
      </c>
      <c r="F405" s="27" t="s">
        <v>684</v>
      </c>
      <c r="G405" s="27" t="s">
        <v>173</v>
      </c>
      <c r="H405" s="28" t="s">
        <v>607</v>
      </c>
      <c r="I405" s="15" t="s">
        <v>2046</v>
      </c>
      <c r="J405" s="27" t="str">
        <f>IF( F405 = "Sovereign", "x", "" )</f>
        <v/>
      </c>
      <c r="K405" s="15">
        <f>( $C405&lt;=$Q$1 )*( $D405 &gt; $Q$1 ) * 1</f>
        <v>0</v>
      </c>
      <c r="L405" s="19"/>
      <c r="M405" s="19"/>
      <c r="O405" s="19">
        <v>404</v>
      </c>
    </row>
    <row r="406" spans="1:15" x14ac:dyDescent="0.2">
      <c r="A406" s="26" t="s">
        <v>2046</v>
      </c>
      <c r="B406" s="15" t="s">
        <v>60</v>
      </c>
      <c r="C406" s="15">
        <v>17790701</v>
      </c>
      <c r="D406" s="15">
        <v>17830903</v>
      </c>
      <c r="E406" s="15" t="s">
        <v>2408</v>
      </c>
      <c r="F406" s="27" t="s">
        <v>684</v>
      </c>
      <c r="G406" s="27" t="s">
        <v>184</v>
      </c>
      <c r="H406" s="28" t="s">
        <v>607</v>
      </c>
      <c r="I406" s="15" t="s">
        <v>2049</v>
      </c>
      <c r="J406" s="27" t="str">
        <f>IF( F406 = "Sovereign", "x", "" )</f>
        <v/>
      </c>
      <c r="K406" s="15">
        <f>( $C406&lt;=$Q$1 )*( $D406 &gt; $Q$1 ) * 1</f>
        <v>0</v>
      </c>
      <c r="L406" s="19"/>
      <c r="M406" s="19"/>
      <c r="O406" s="19">
        <v>405</v>
      </c>
    </row>
    <row r="407" spans="1:15" x14ac:dyDescent="0.2">
      <c r="A407" s="26" t="s">
        <v>2049</v>
      </c>
      <c r="B407" s="15" t="s">
        <v>60</v>
      </c>
      <c r="C407" s="15">
        <v>17630210</v>
      </c>
      <c r="D407" s="15">
        <v>17790701</v>
      </c>
      <c r="E407" s="15" t="s">
        <v>2404</v>
      </c>
      <c r="F407" s="27" t="s">
        <v>684</v>
      </c>
      <c r="G407" s="27" t="s">
        <v>173</v>
      </c>
      <c r="H407" s="28" t="s">
        <v>607</v>
      </c>
      <c r="I407" s="15" t="s">
        <v>2045</v>
      </c>
      <c r="J407" s="27" t="str">
        <f>IF( F407 = "Sovereign", "x", "" )</f>
        <v/>
      </c>
      <c r="K407" s="15">
        <f>( $C407&lt;=$Q$1 )*( $D407 &gt; $Q$1 ) * 1</f>
        <v>0</v>
      </c>
      <c r="L407" s="19"/>
      <c r="M407" s="19"/>
      <c r="O407" s="19">
        <v>406</v>
      </c>
    </row>
    <row r="408" spans="1:15" x14ac:dyDescent="0.2">
      <c r="A408" s="26" t="s">
        <v>2045</v>
      </c>
      <c r="B408" s="15" t="s">
        <v>2048</v>
      </c>
      <c r="C408" s="15">
        <v>16490101</v>
      </c>
      <c r="D408" s="15">
        <v>17630210</v>
      </c>
      <c r="E408" s="15" t="s">
        <v>2408</v>
      </c>
      <c r="F408" s="27" t="s">
        <v>684</v>
      </c>
      <c r="G408" s="27" t="s">
        <v>184</v>
      </c>
      <c r="H408" s="28" t="s">
        <v>607</v>
      </c>
      <c r="I408" s="15" t="s">
        <v>613</v>
      </c>
      <c r="J408" s="27" t="str">
        <f>IF( F408 = "Sovereign", "x", "" )</f>
        <v/>
      </c>
      <c r="K408" s="15">
        <f>( $C408&lt;=$Q$1 )*( $D408 &gt; $Q$1 ) * 1</f>
        <v>0</v>
      </c>
      <c r="L408" s="19"/>
      <c r="M408" s="19"/>
      <c r="O408" s="19">
        <v>407</v>
      </c>
    </row>
    <row r="409" spans="1:15" x14ac:dyDescent="0.2">
      <c r="A409" s="29" t="s">
        <v>1009</v>
      </c>
      <c r="B409" s="15" t="s">
        <v>136</v>
      </c>
      <c r="C409" s="15">
        <v>19791027</v>
      </c>
      <c r="D409" s="15">
        <v>20261231</v>
      </c>
      <c r="F409" s="27" t="s">
        <v>683</v>
      </c>
      <c r="H409" s="28" t="s">
        <v>607</v>
      </c>
      <c r="I409" s="15" t="s">
        <v>2053</v>
      </c>
      <c r="J409" s="27" t="str">
        <f>IF( F409 = "Sovereign", "x", "" )</f>
        <v>x</v>
      </c>
      <c r="K409" s="15">
        <f>( $C409&lt;=$Q$1 )*( $D409 &gt; $Q$1 ) * 1</f>
        <v>1</v>
      </c>
      <c r="L409" s="19"/>
      <c r="N409" s="15" t="s">
        <v>351</v>
      </c>
      <c r="O409" s="19">
        <v>408</v>
      </c>
    </row>
    <row r="410" spans="1:15" x14ac:dyDescent="0.2">
      <c r="A410" s="26" t="s">
        <v>2053</v>
      </c>
      <c r="B410" s="15" t="s">
        <v>136</v>
      </c>
      <c r="C410" s="15">
        <v>17830903</v>
      </c>
      <c r="D410" s="15">
        <v>19791027</v>
      </c>
      <c r="E410" s="15" t="s">
        <v>2404</v>
      </c>
      <c r="F410" s="27" t="s">
        <v>684</v>
      </c>
      <c r="G410" s="27" t="s">
        <v>173</v>
      </c>
      <c r="H410" s="28" t="s">
        <v>607</v>
      </c>
      <c r="I410" s="26" t="s">
        <v>2052</v>
      </c>
      <c r="J410" s="27" t="str">
        <f>IF( F410 = "Sovereign", "x", "" )</f>
        <v/>
      </c>
      <c r="K410" s="15">
        <f>( $C410&lt;=$Q$1 )*( $D410 &gt; $Q$1 ) * 1</f>
        <v>0</v>
      </c>
      <c r="L410" s="19"/>
      <c r="M410" s="19"/>
      <c r="O410" s="19">
        <v>409</v>
      </c>
    </row>
    <row r="411" spans="1:15" x14ac:dyDescent="0.2">
      <c r="A411" s="26" t="s">
        <v>2052</v>
      </c>
      <c r="B411" s="15" t="s">
        <v>136</v>
      </c>
      <c r="C411" s="15">
        <v>17790701</v>
      </c>
      <c r="D411" s="15">
        <v>17830903</v>
      </c>
      <c r="E411" s="15" t="s">
        <v>2408</v>
      </c>
      <c r="F411" s="27" t="s">
        <v>684</v>
      </c>
      <c r="G411" s="27" t="s">
        <v>184</v>
      </c>
      <c r="H411" s="28" t="s">
        <v>607</v>
      </c>
      <c r="I411" s="26" t="s">
        <v>2051</v>
      </c>
      <c r="J411" s="27" t="str">
        <f>IF( F411 = "Sovereign", "x", "" )</f>
        <v/>
      </c>
      <c r="K411" s="15">
        <f>( $C411&lt;=$Q$1 )*( $D411 &gt; $Q$1 ) * 1</f>
        <v>0</v>
      </c>
      <c r="L411" s="19"/>
      <c r="M411" s="19"/>
      <c r="O411" s="19">
        <v>410</v>
      </c>
    </row>
    <row r="412" spans="1:15" x14ac:dyDescent="0.2">
      <c r="A412" s="26" t="s">
        <v>2051</v>
      </c>
      <c r="B412" s="15" t="s">
        <v>136</v>
      </c>
      <c r="C412" s="15">
        <v>17630210</v>
      </c>
      <c r="D412" s="15">
        <v>17790701</v>
      </c>
      <c r="E412" s="15" t="s">
        <v>2404</v>
      </c>
      <c r="F412" s="27" t="s">
        <v>684</v>
      </c>
      <c r="G412" s="27" t="s">
        <v>173</v>
      </c>
      <c r="H412" s="28" t="s">
        <v>607</v>
      </c>
      <c r="I412" s="26" t="s">
        <v>2050</v>
      </c>
      <c r="J412" s="27" t="str">
        <f>IF( F412 = "Sovereign", "x", "" )</f>
        <v/>
      </c>
      <c r="K412" s="15">
        <f>( $C412&lt;=$Q$1 )*( $D412 &gt; $Q$1 ) * 1</f>
        <v>0</v>
      </c>
      <c r="L412" s="19"/>
      <c r="M412" s="19"/>
      <c r="O412" s="19">
        <v>411</v>
      </c>
    </row>
    <row r="413" spans="1:15" x14ac:dyDescent="0.2">
      <c r="A413" s="26" t="s">
        <v>2050</v>
      </c>
      <c r="B413" s="15" t="s">
        <v>136</v>
      </c>
      <c r="C413" s="15">
        <v>17190101</v>
      </c>
      <c r="D413" s="15">
        <v>17630210</v>
      </c>
      <c r="E413" s="15" t="s">
        <v>2408</v>
      </c>
      <c r="F413" s="27" t="s">
        <v>684</v>
      </c>
      <c r="G413" s="27" t="s">
        <v>184</v>
      </c>
      <c r="H413" s="28" t="s">
        <v>607</v>
      </c>
      <c r="I413" s="15" t="s">
        <v>613</v>
      </c>
      <c r="J413" s="27" t="str">
        <f>IF( F413 = "Sovereign", "x", "" )</f>
        <v/>
      </c>
      <c r="K413" s="15">
        <f>( $C413&lt;=$Q$1 )*( $D413 &gt; $Q$1 ) * 1</f>
        <v>0</v>
      </c>
      <c r="L413" s="19"/>
      <c r="M413" s="19"/>
      <c r="O413" s="19">
        <v>412</v>
      </c>
    </row>
    <row r="414" spans="1:15" x14ac:dyDescent="0.2">
      <c r="A414" s="29" t="s">
        <v>866</v>
      </c>
      <c r="B414" s="15" t="s">
        <v>764</v>
      </c>
      <c r="C414" s="15">
        <v>20101010</v>
      </c>
      <c r="D414" s="15">
        <v>20261231</v>
      </c>
      <c r="E414" s="15" t="s">
        <v>2406</v>
      </c>
      <c r="F414" s="27" t="s">
        <v>684</v>
      </c>
      <c r="G414" s="27" t="s">
        <v>112</v>
      </c>
      <c r="H414" s="15" t="s">
        <v>607</v>
      </c>
      <c r="I414" s="15" t="s">
        <v>856</v>
      </c>
      <c r="J414" s="27" t="str">
        <f>IF( F414 = "Sovereign", "x", "" )</f>
        <v/>
      </c>
      <c r="K414" s="15">
        <f>( $C414&lt;=$Q$1 )*( $D414 &gt; $Q$1 ) * 1</f>
        <v>1</v>
      </c>
      <c r="L414" s="19"/>
      <c r="M414" s="15" t="s">
        <v>864</v>
      </c>
      <c r="N414" s="15" t="s">
        <v>865</v>
      </c>
      <c r="O414" s="19">
        <v>413</v>
      </c>
    </row>
    <row r="415" spans="1:15" x14ac:dyDescent="0.2">
      <c r="A415" s="29" t="s">
        <v>856</v>
      </c>
      <c r="B415" s="15" t="s">
        <v>854</v>
      </c>
      <c r="C415" s="15">
        <v>19541210</v>
      </c>
      <c r="D415" s="15">
        <v>20101010</v>
      </c>
      <c r="E415" s="15" t="s">
        <v>2406</v>
      </c>
      <c r="F415" s="27" t="s">
        <v>684</v>
      </c>
      <c r="G415" s="27" t="s">
        <v>112</v>
      </c>
      <c r="H415" s="15" t="s">
        <v>607</v>
      </c>
      <c r="I415" s="15" t="s">
        <v>859</v>
      </c>
      <c r="J415" s="27" t="str">
        <f>IF( F415 = "Sovereign", "x", "" )</f>
        <v/>
      </c>
      <c r="K415" s="15">
        <f>( $C415&lt;=$Q$1 )*( $D415 &gt; $Q$1 ) * 1</f>
        <v>0</v>
      </c>
      <c r="L415" s="19"/>
      <c r="M415" s="15" t="s">
        <v>854</v>
      </c>
      <c r="N415" s="15" t="s">
        <v>855</v>
      </c>
      <c r="O415" s="19">
        <v>414</v>
      </c>
    </row>
    <row r="416" spans="1:15" x14ac:dyDescent="0.2">
      <c r="A416" s="29" t="s">
        <v>859</v>
      </c>
      <c r="B416" s="15" t="s">
        <v>857</v>
      </c>
      <c r="C416" s="15">
        <v>16340101</v>
      </c>
      <c r="D416" s="15">
        <v>19541210</v>
      </c>
      <c r="E416" s="15" t="s">
        <v>2406</v>
      </c>
      <c r="F416" s="27" t="s">
        <v>684</v>
      </c>
      <c r="G416" s="27" t="s">
        <v>112</v>
      </c>
      <c r="H416" s="15" t="s">
        <v>607</v>
      </c>
      <c r="I416" s="15" t="s">
        <v>613</v>
      </c>
      <c r="J416" s="27" t="str">
        <f>IF( F416 = "Sovereign", "x", "" )</f>
        <v/>
      </c>
      <c r="K416" s="15">
        <f>( $C416&lt;=$Q$1 )*( $D416 &gt; $Q$1 ) * 1</f>
        <v>0</v>
      </c>
      <c r="L416" s="19"/>
      <c r="M416" s="15" t="s">
        <v>858</v>
      </c>
      <c r="N416" s="15" t="s">
        <v>855</v>
      </c>
      <c r="O416" s="19">
        <v>415</v>
      </c>
    </row>
    <row r="417" spans="1:15" x14ac:dyDescent="0.2">
      <c r="A417" s="29" t="s">
        <v>1010</v>
      </c>
      <c r="B417" s="15" t="s">
        <v>135</v>
      </c>
      <c r="C417" s="15">
        <v>19790222</v>
      </c>
      <c r="D417" s="15">
        <v>20261231</v>
      </c>
      <c r="F417" s="27" t="s">
        <v>683</v>
      </c>
      <c r="H417" s="28" t="s">
        <v>607</v>
      </c>
      <c r="I417" s="26" t="s">
        <v>2058</v>
      </c>
      <c r="J417" s="27" t="str">
        <f>IF( F417 = "Sovereign", "x", "" )</f>
        <v>x</v>
      </c>
      <c r="K417" s="15">
        <f>( $C417&lt;=$Q$1 )*( $D417 &gt; $Q$1 ) * 1</f>
        <v>1</v>
      </c>
      <c r="L417" s="19"/>
      <c r="N417" s="15" t="s">
        <v>350</v>
      </c>
      <c r="O417" s="19">
        <v>416</v>
      </c>
    </row>
    <row r="418" spans="1:15" x14ac:dyDescent="0.2">
      <c r="A418" s="26" t="s">
        <v>2058</v>
      </c>
      <c r="B418" s="15" t="s">
        <v>135</v>
      </c>
      <c r="C418" s="15">
        <v>18030101</v>
      </c>
      <c r="D418" s="15">
        <v>19790222</v>
      </c>
      <c r="E418" s="15" t="s">
        <v>2404</v>
      </c>
      <c r="F418" s="27" t="s">
        <v>684</v>
      </c>
      <c r="G418" s="27" t="s">
        <v>173</v>
      </c>
      <c r="H418" s="28" t="s">
        <v>607</v>
      </c>
      <c r="I418" s="26" t="s">
        <v>2057</v>
      </c>
      <c r="J418" s="27" t="str">
        <f>IF( F418 = "Sovereign", "x", "" )</f>
        <v/>
      </c>
      <c r="K418" s="15">
        <f>( $C418&lt;=$Q$1 )*( $D418 &gt; $Q$1 ) * 1</f>
        <v>0</v>
      </c>
      <c r="L418" s="19"/>
      <c r="M418" s="19"/>
      <c r="O418" s="19">
        <v>417</v>
      </c>
    </row>
    <row r="419" spans="1:15" x14ac:dyDescent="0.2">
      <c r="A419" s="26" t="s">
        <v>2057</v>
      </c>
      <c r="B419" s="15" t="s">
        <v>135</v>
      </c>
      <c r="C419" s="15">
        <v>17830903</v>
      </c>
      <c r="D419" s="15">
        <v>18030101</v>
      </c>
      <c r="E419" s="15" t="s">
        <v>2408</v>
      </c>
      <c r="F419" s="27" t="s">
        <v>684</v>
      </c>
      <c r="G419" s="27" t="s">
        <v>184</v>
      </c>
      <c r="H419" s="28" t="s">
        <v>607</v>
      </c>
      <c r="I419" s="26" t="s">
        <v>2056</v>
      </c>
      <c r="J419" s="27" t="str">
        <f>IF( F419 = "Sovereign", "x", "" )</f>
        <v/>
      </c>
      <c r="K419" s="15">
        <f>( $C419&lt;=$Q$1 )*( $D419 &gt; $Q$1 ) * 1</f>
        <v>0</v>
      </c>
      <c r="L419" s="19"/>
      <c r="M419" s="19"/>
      <c r="O419" s="19">
        <v>418</v>
      </c>
    </row>
    <row r="420" spans="1:15" x14ac:dyDescent="0.2">
      <c r="A420" s="26" t="s">
        <v>2056</v>
      </c>
      <c r="B420" s="15" t="s">
        <v>135</v>
      </c>
      <c r="C420" s="15">
        <v>17630210</v>
      </c>
      <c r="D420" s="15">
        <v>17830903</v>
      </c>
      <c r="E420" s="15" t="s">
        <v>2404</v>
      </c>
      <c r="F420" s="27" t="s">
        <v>684</v>
      </c>
      <c r="G420" s="27" t="s">
        <v>173</v>
      </c>
      <c r="H420" s="28" t="s">
        <v>607</v>
      </c>
      <c r="I420" s="26" t="s">
        <v>2055</v>
      </c>
      <c r="J420" s="27" t="str">
        <f>IF( F420 = "Sovereign", "x", "" )</f>
        <v/>
      </c>
      <c r="K420" s="15">
        <f>( $C420&lt;=$Q$1 )*( $D420 &gt; $Q$1 ) * 1</f>
        <v>0</v>
      </c>
      <c r="L420" s="19"/>
      <c r="M420" s="19"/>
      <c r="O420" s="19">
        <v>419</v>
      </c>
    </row>
    <row r="421" spans="1:15" x14ac:dyDescent="0.2">
      <c r="A421" s="26" t="s">
        <v>2055</v>
      </c>
      <c r="B421" s="15" t="s">
        <v>135</v>
      </c>
      <c r="C421" s="15">
        <v>16740101</v>
      </c>
      <c r="D421" s="15">
        <v>17630210</v>
      </c>
      <c r="E421" s="15" t="s">
        <v>2408</v>
      </c>
      <c r="F421" s="27" t="s">
        <v>684</v>
      </c>
      <c r="G421" s="27" t="s">
        <v>184</v>
      </c>
      <c r="H421" s="28" t="s">
        <v>607</v>
      </c>
      <c r="I421" s="15" t="s">
        <v>613</v>
      </c>
      <c r="J421" s="27" t="str">
        <f>IF( F421 = "Sovereign", "x", "" )</f>
        <v/>
      </c>
      <c r="K421" s="15">
        <f>( $C421&lt;=$Q$1 )*( $D421 &gt; $Q$1 ) * 1</f>
        <v>0</v>
      </c>
      <c r="L421" s="19"/>
      <c r="M421" s="19"/>
      <c r="O421" s="19">
        <v>420</v>
      </c>
    </row>
    <row r="422" spans="1:15" x14ac:dyDescent="0.2">
      <c r="A422" s="29" t="s">
        <v>2376</v>
      </c>
      <c r="B422" s="15" t="s">
        <v>760</v>
      </c>
      <c r="C422" s="15">
        <v>16480101</v>
      </c>
      <c r="D422" s="15">
        <v>20261231</v>
      </c>
      <c r="E422" s="15" t="s">
        <v>2408</v>
      </c>
      <c r="F422" s="27" t="s">
        <v>684</v>
      </c>
      <c r="G422" s="27" t="s">
        <v>184</v>
      </c>
      <c r="H422" s="15" t="s">
        <v>607</v>
      </c>
      <c r="I422" s="15" t="s">
        <v>613</v>
      </c>
      <c r="J422" s="27" t="str">
        <f>IF( F422 = "Sovereign", "x", "" )</f>
        <v/>
      </c>
      <c r="K422" s="15">
        <f>( $C422&lt;=$Q$1 )*( $D422 &gt; $Q$1 ) * 1</f>
        <v>1</v>
      </c>
      <c r="L422" s="19"/>
      <c r="M422" s="15" t="s">
        <v>844</v>
      </c>
      <c r="N422" s="15" t="s">
        <v>843</v>
      </c>
      <c r="O422" s="19">
        <v>421</v>
      </c>
    </row>
    <row r="423" spans="1:15" x14ac:dyDescent="0.2">
      <c r="A423" s="29" t="s">
        <v>1004</v>
      </c>
      <c r="B423" s="15" t="s">
        <v>43</v>
      </c>
      <c r="C423" s="15">
        <v>19781103</v>
      </c>
      <c r="D423" s="15">
        <v>20261231</v>
      </c>
      <c r="F423" s="27" t="s">
        <v>683</v>
      </c>
      <c r="H423" s="28" t="s">
        <v>607</v>
      </c>
      <c r="I423" s="26" t="s">
        <v>2062</v>
      </c>
      <c r="J423" s="27" t="str">
        <f>IF( F423 = "Sovereign", "x", "" )</f>
        <v>x</v>
      </c>
      <c r="K423" s="15">
        <f>( $C423&lt;=$Q$1 )*( $D423 &gt; $Q$1 ) * 1</f>
        <v>1</v>
      </c>
      <c r="L423" s="19"/>
      <c r="N423" s="15" t="s">
        <v>244</v>
      </c>
      <c r="O423" s="19">
        <v>422</v>
      </c>
    </row>
    <row r="424" spans="1:15" x14ac:dyDescent="0.2">
      <c r="A424" s="26" t="s">
        <v>2062</v>
      </c>
      <c r="B424" s="15" t="s">
        <v>43</v>
      </c>
      <c r="C424" s="15">
        <v>17630210</v>
      </c>
      <c r="D424" s="15">
        <v>19781103</v>
      </c>
      <c r="E424" s="15" t="s">
        <v>2404</v>
      </c>
      <c r="F424" s="27" t="s">
        <v>684</v>
      </c>
      <c r="G424" s="27" t="s">
        <v>173</v>
      </c>
      <c r="H424" s="28" t="s">
        <v>607</v>
      </c>
      <c r="I424" s="26" t="s">
        <v>2061</v>
      </c>
      <c r="J424" s="27" t="str">
        <f>IF( F424 = "Sovereign", "x", "" )</f>
        <v/>
      </c>
      <c r="K424" s="15">
        <f>( $C424&lt;=$Q$1 )*( $D424 &gt; $Q$1 ) * 1</f>
        <v>0</v>
      </c>
      <c r="L424" s="19"/>
      <c r="M424" s="19"/>
      <c r="O424" s="19">
        <v>423</v>
      </c>
    </row>
    <row r="425" spans="1:15" x14ac:dyDescent="0.2">
      <c r="A425" s="26" t="s">
        <v>2061</v>
      </c>
      <c r="B425" s="15" t="s">
        <v>43</v>
      </c>
      <c r="C425" s="15">
        <v>16350101</v>
      </c>
      <c r="D425" s="15">
        <v>17630210</v>
      </c>
      <c r="E425" s="15" t="s">
        <v>2408</v>
      </c>
      <c r="F425" s="27" t="s">
        <v>684</v>
      </c>
      <c r="G425" s="27" t="s">
        <v>184</v>
      </c>
      <c r="H425" s="28" t="s">
        <v>607</v>
      </c>
      <c r="I425" s="15" t="s">
        <v>613</v>
      </c>
      <c r="J425" s="27" t="str">
        <f>IF( F425 = "Sovereign", "x", "" )</f>
        <v/>
      </c>
      <c r="K425" s="15">
        <f>( $C425&lt;=$Q$1 )*( $D425 &gt; $Q$1 ) * 1</f>
        <v>0</v>
      </c>
      <c r="L425" s="19"/>
      <c r="M425" s="19"/>
      <c r="O425" s="19">
        <v>424</v>
      </c>
    </row>
    <row r="426" spans="1:15" x14ac:dyDescent="0.2">
      <c r="A426" s="29" t="s">
        <v>849</v>
      </c>
      <c r="B426" s="15" t="s">
        <v>761</v>
      </c>
      <c r="C426" s="15">
        <v>16350101</v>
      </c>
      <c r="D426" s="15">
        <v>20261231</v>
      </c>
      <c r="E426" s="15" t="s">
        <v>2408</v>
      </c>
      <c r="F426" s="27" t="s">
        <v>684</v>
      </c>
      <c r="G426" s="27" t="s">
        <v>184</v>
      </c>
      <c r="H426" s="15" t="s">
        <v>607</v>
      </c>
      <c r="I426" s="15" t="s">
        <v>613</v>
      </c>
      <c r="J426" s="27" t="str">
        <f>IF( F426 = "Sovereign", "x", "" )</f>
        <v/>
      </c>
      <c r="K426" s="15">
        <f>( $C426&lt;=$Q$1 )*( $D426 &gt; $Q$1 ) * 1</f>
        <v>1</v>
      </c>
      <c r="L426" s="19"/>
      <c r="M426" s="15" t="s">
        <v>845</v>
      </c>
      <c r="N426" s="15" t="s">
        <v>846</v>
      </c>
      <c r="O426" s="19">
        <v>425</v>
      </c>
    </row>
    <row r="427" spans="1:15" x14ac:dyDescent="0.2">
      <c r="A427" s="29" t="s">
        <v>1001</v>
      </c>
      <c r="B427" s="15" t="s">
        <v>134</v>
      </c>
      <c r="C427" s="15">
        <v>19830919</v>
      </c>
      <c r="D427" s="15">
        <v>20261231</v>
      </c>
      <c r="F427" s="27" t="s">
        <v>683</v>
      </c>
      <c r="H427" s="28" t="s">
        <v>607</v>
      </c>
      <c r="I427" s="15" t="s">
        <v>2066</v>
      </c>
      <c r="J427" s="27" t="str">
        <f>IF( F427 = "Sovereign", "x", "" )</f>
        <v>x</v>
      </c>
      <c r="K427" s="15">
        <f>( $C427&lt;=$Q$1 )*( $D427 &gt; $Q$1 ) * 1</f>
        <v>1</v>
      </c>
      <c r="L427" s="19"/>
      <c r="N427" s="15" t="s">
        <v>349</v>
      </c>
      <c r="O427" s="19">
        <v>426</v>
      </c>
    </row>
    <row r="428" spans="1:15" x14ac:dyDescent="0.2">
      <c r="A428" s="29" t="s">
        <v>2066</v>
      </c>
      <c r="B428" s="15" t="s">
        <v>134</v>
      </c>
      <c r="C428" s="15">
        <v>18820616</v>
      </c>
      <c r="D428" s="15">
        <v>19830919</v>
      </c>
      <c r="E428" s="15" t="s">
        <v>2404</v>
      </c>
      <c r="F428" s="27" t="s">
        <v>684</v>
      </c>
      <c r="G428" s="27" t="s">
        <v>173</v>
      </c>
      <c r="H428" s="28" t="s">
        <v>607</v>
      </c>
      <c r="I428" s="15" t="s">
        <v>613</v>
      </c>
      <c r="J428" s="27" t="str">
        <f>IF( F428 = "Sovereign", "x", "" )</f>
        <v/>
      </c>
      <c r="K428" s="15">
        <f>( $C428&lt;=$Q$1 )*( $D428 &gt; $Q$1 ) * 1</f>
        <v>0</v>
      </c>
      <c r="L428" s="19"/>
      <c r="M428" s="19"/>
      <c r="O428" s="19">
        <v>427</v>
      </c>
    </row>
    <row r="429" spans="1:15" x14ac:dyDescent="0.2">
      <c r="A429" s="29" t="s">
        <v>1005</v>
      </c>
      <c r="B429" s="15" t="s">
        <v>5</v>
      </c>
      <c r="C429" s="15">
        <v>19811101</v>
      </c>
      <c r="D429" s="15">
        <v>20261231</v>
      </c>
      <c r="F429" s="27" t="s">
        <v>683</v>
      </c>
      <c r="H429" s="28" t="s">
        <v>607</v>
      </c>
      <c r="I429" s="15" t="s">
        <v>2074</v>
      </c>
      <c r="J429" s="27" t="str">
        <f>IF( F429 = "Sovereign", "x", "" )</f>
        <v>x</v>
      </c>
      <c r="K429" s="15">
        <f>( $C429&lt;=$Q$1 )*( $D429 &gt; $Q$1 ) * 1</f>
        <v>1</v>
      </c>
      <c r="L429" s="19"/>
      <c r="N429" s="15" t="s">
        <v>196</v>
      </c>
      <c r="O429" s="19">
        <v>428</v>
      </c>
    </row>
    <row r="430" spans="1:15" x14ac:dyDescent="0.2">
      <c r="A430" s="29" t="s">
        <v>2073</v>
      </c>
      <c r="B430" s="15" t="s">
        <v>1615</v>
      </c>
      <c r="C430" s="15">
        <v>16320101</v>
      </c>
      <c r="D430" s="15">
        <v>19811101</v>
      </c>
      <c r="E430" s="15" t="s">
        <v>2404</v>
      </c>
      <c r="F430" s="27" t="s">
        <v>684</v>
      </c>
      <c r="G430" s="27" t="s">
        <v>173</v>
      </c>
      <c r="H430" s="28" t="s">
        <v>607</v>
      </c>
      <c r="I430" s="15" t="s">
        <v>613</v>
      </c>
      <c r="J430" s="27" t="str">
        <f>IF( F430 = "Sovereign", "x", "" )</f>
        <v/>
      </c>
      <c r="K430" s="15">
        <f>( $C430&lt;=$Q$1 )*( $D430 &gt; $Q$1 ) * 1</f>
        <v>0</v>
      </c>
      <c r="L430" s="19"/>
      <c r="M430" s="19"/>
      <c r="O430" s="19">
        <v>429</v>
      </c>
    </row>
    <row r="431" spans="1:15" x14ac:dyDescent="0.2">
      <c r="A431" s="29" t="s">
        <v>2071</v>
      </c>
      <c r="B431" s="15" t="s">
        <v>2072</v>
      </c>
      <c r="C431" s="15">
        <v>16780101</v>
      </c>
      <c r="D431" s="15">
        <v>19811101</v>
      </c>
      <c r="E431" s="15" t="s">
        <v>2404</v>
      </c>
      <c r="F431" s="27" t="s">
        <v>684</v>
      </c>
      <c r="G431" s="27" t="s">
        <v>173</v>
      </c>
      <c r="H431" s="28" t="s">
        <v>607</v>
      </c>
      <c r="I431" s="15" t="s">
        <v>613</v>
      </c>
      <c r="J431" s="27" t="str">
        <f>IF( F431 = "Sovereign", "x", "" )</f>
        <v/>
      </c>
      <c r="K431" s="15">
        <f>( $C431&lt;=$Q$1 )*( $D431 &gt; $Q$1 ) * 1</f>
        <v>0</v>
      </c>
      <c r="L431" s="19"/>
      <c r="M431" s="19"/>
      <c r="O431" s="19">
        <v>430</v>
      </c>
    </row>
    <row r="432" spans="1:15" x14ac:dyDescent="0.2">
      <c r="A432" s="29" t="s">
        <v>2093</v>
      </c>
      <c r="B432" s="15" t="s">
        <v>44</v>
      </c>
      <c r="C432" s="15">
        <v>18650715</v>
      </c>
      <c r="D432" s="15">
        <v>20261231</v>
      </c>
      <c r="F432" s="27" t="s">
        <v>683</v>
      </c>
      <c r="H432" s="28" t="s">
        <v>607</v>
      </c>
      <c r="I432" s="15" t="s">
        <v>2092</v>
      </c>
      <c r="J432" s="27" t="str">
        <f>IF( F432 = "Sovereign", "x", "" )</f>
        <v>x</v>
      </c>
      <c r="K432" s="15">
        <f>( $C432&lt;=$Q$1 )*( $D432 &gt; $Q$1 ) * 1</f>
        <v>1</v>
      </c>
      <c r="L432" s="19"/>
      <c r="N432" s="15" t="s">
        <v>245</v>
      </c>
      <c r="O432" s="19">
        <v>431</v>
      </c>
    </row>
    <row r="433" spans="1:15" x14ac:dyDescent="0.2">
      <c r="A433" s="29" t="s">
        <v>2092</v>
      </c>
      <c r="B433" s="15" t="s">
        <v>245</v>
      </c>
      <c r="C433" s="15">
        <v>18610318</v>
      </c>
      <c r="D433" s="15">
        <v>18650715</v>
      </c>
      <c r="E433" s="15" t="s">
        <v>2412</v>
      </c>
      <c r="F433" s="27" t="s">
        <v>684</v>
      </c>
      <c r="G433" s="27" t="s">
        <v>152</v>
      </c>
      <c r="H433" s="28" t="s">
        <v>607</v>
      </c>
      <c r="I433" s="15" t="s">
        <v>1012</v>
      </c>
      <c r="J433" s="27" t="str">
        <f>IF( F433 = "Sovereign", "x", "" )</f>
        <v/>
      </c>
      <c r="K433" s="15">
        <f>( $C433&lt;=$Q$1 )*( $D433 &gt; $Q$1 ) * 1</f>
        <v>0</v>
      </c>
      <c r="L433" s="19"/>
      <c r="M433" s="19"/>
      <c r="O433" s="19">
        <v>432</v>
      </c>
    </row>
    <row r="434" spans="1:15" x14ac:dyDescent="0.2">
      <c r="A434" s="29" t="s">
        <v>1012</v>
      </c>
      <c r="B434" s="15" t="s">
        <v>44</v>
      </c>
      <c r="C434" s="15">
        <v>18440227</v>
      </c>
      <c r="D434" s="15">
        <v>18610318</v>
      </c>
      <c r="F434" s="27" t="s">
        <v>683</v>
      </c>
      <c r="H434" s="28" t="s">
        <v>607</v>
      </c>
      <c r="I434" s="15" t="s">
        <v>2090</v>
      </c>
      <c r="J434" s="27" t="str">
        <f>IF( F434 = "Sovereign", "x", "" )</f>
        <v>x</v>
      </c>
      <c r="K434" s="15">
        <f>( $C434&lt;=$Q$1 )*( $D434 &gt; $Q$1 ) * 1</f>
        <v>0</v>
      </c>
      <c r="L434" s="19"/>
      <c r="M434" s="19"/>
      <c r="O434" s="19">
        <v>433</v>
      </c>
    </row>
    <row r="435" spans="1:15" x14ac:dyDescent="0.2">
      <c r="A435" s="29" t="s">
        <v>2090</v>
      </c>
      <c r="B435" s="15" t="s">
        <v>245</v>
      </c>
      <c r="C435" s="15">
        <v>18090709</v>
      </c>
      <c r="D435" s="15">
        <v>18220209</v>
      </c>
      <c r="E435" s="15" t="s">
        <v>2412</v>
      </c>
      <c r="F435" s="27" t="s">
        <v>684</v>
      </c>
      <c r="G435" s="27" t="s">
        <v>152</v>
      </c>
      <c r="H435" s="28" t="s">
        <v>607</v>
      </c>
      <c r="I435" s="15" t="s">
        <v>2089</v>
      </c>
      <c r="J435" s="27" t="str">
        <f>IF( F435 = "Sovereign", "x", "" )</f>
        <v/>
      </c>
      <c r="K435" s="15">
        <f>( $C435&lt;=$Q$1 )*( $D435 &gt; $Q$1 ) * 1</f>
        <v>0</v>
      </c>
      <c r="L435" s="19"/>
      <c r="M435" s="19"/>
      <c r="O435" s="19">
        <v>434</v>
      </c>
    </row>
    <row r="436" spans="1:15" x14ac:dyDescent="0.2">
      <c r="A436" s="29" t="s">
        <v>2089</v>
      </c>
      <c r="B436" s="15" t="s">
        <v>245</v>
      </c>
      <c r="C436" s="15">
        <v>17950722</v>
      </c>
      <c r="D436" s="15">
        <v>18090709</v>
      </c>
      <c r="E436" s="15" t="s">
        <v>2408</v>
      </c>
      <c r="F436" s="27" t="s">
        <v>684</v>
      </c>
      <c r="G436" s="27" t="s">
        <v>184</v>
      </c>
      <c r="H436" s="28" t="s">
        <v>607</v>
      </c>
      <c r="I436" s="15" t="s">
        <v>2087</v>
      </c>
      <c r="J436" s="27" t="str">
        <f>IF( F436 = "Sovereign", "x", "" )</f>
        <v/>
      </c>
      <c r="K436" s="15">
        <f>( $C436&lt;=$Q$1 )*( $D436 &gt; $Q$1 ) * 1</f>
        <v>0</v>
      </c>
      <c r="L436" s="19"/>
      <c r="M436" s="19"/>
      <c r="O436" s="19">
        <v>435</v>
      </c>
    </row>
    <row r="437" spans="1:15" x14ac:dyDescent="0.2">
      <c r="A437" s="29" t="s">
        <v>2087</v>
      </c>
      <c r="B437" s="15" t="s">
        <v>245</v>
      </c>
      <c r="C437" s="15">
        <v>14921205</v>
      </c>
      <c r="D437" s="15">
        <v>17950722</v>
      </c>
      <c r="E437" s="15" t="s">
        <v>2412</v>
      </c>
      <c r="F437" s="27" t="s">
        <v>684</v>
      </c>
      <c r="G437" s="27" t="s">
        <v>152</v>
      </c>
      <c r="H437" s="28" t="s">
        <v>607</v>
      </c>
      <c r="I437" s="15" t="s">
        <v>613</v>
      </c>
      <c r="J437" s="27" t="str">
        <f>IF( F437 = "Sovereign", "x", "" )</f>
        <v/>
      </c>
      <c r="K437" s="15">
        <f>( $C437&lt;=$Q$1 )*( $D437 &gt; $Q$1 ) * 1</f>
        <v>0</v>
      </c>
      <c r="L437" s="19"/>
      <c r="M437" s="19"/>
      <c r="O437" s="19">
        <v>436</v>
      </c>
    </row>
    <row r="438" spans="1:15" x14ac:dyDescent="0.2">
      <c r="A438" s="29" t="s">
        <v>2077</v>
      </c>
      <c r="B438" s="15" t="s">
        <v>765</v>
      </c>
      <c r="C438" s="15">
        <v>16120101</v>
      </c>
      <c r="D438" s="15">
        <v>20261231</v>
      </c>
      <c r="E438" s="15" t="s">
        <v>2404</v>
      </c>
      <c r="F438" s="27" t="s">
        <v>684</v>
      </c>
      <c r="G438" s="27" t="s">
        <v>173</v>
      </c>
      <c r="H438" s="15" t="s">
        <v>607</v>
      </c>
      <c r="I438" s="15" t="s">
        <v>613</v>
      </c>
      <c r="J438" s="27" t="str">
        <f>IF( F438 = "Sovereign", "x", "" )</f>
        <v/>
      </c>
      <c r="K438" s="15">
        <f>( $C438&lt;=$Q$1 )*( $D438 &gt; $Q$1 ) * 1</f>
        <v>1</v>
      </c>
      <c r="L438" s="19"/>
      <c r="M438" s="15" t="s">
        <v>765</v>
      </c>
      <c r="N438" s="15" t="s">
        <v>870</v>
      </c>
      <c r="O438" s="19">
        <v>437</v>
      </c>
    </row>
    <row r="439" spans="1:15" x14ac:dyDescent="0.2">
      <c r="A439" s="29" t="s">
        <v>871</v>
      </c>
      <c r="B439" s="15" t="s">
        <v>766</v>
      </c>
      <c r="C439" s="15">
        <v>16700101</v>
      </c>
      <c r="D439" s="15">
        <v>20261231</v>
      </c>
      <c r="E439" s="15" t="s">
        <v>2404</v>
      </c>
      <c r="F439" s="27" t="s">
        <v>684</v>
      </c>
      <c r="G439" s="27" t="s">
        <v>173</v>
      </c>
      <c r="H439" s="15" t="s">
        <v>607</v>
      </c>
      <c r="I439" s="15" t="s">
        <v>613</v>
      </c>
      <c r="J439" s="27" t="str">
        <f>IF( F439 = "Sovereign", "x", "" )</f>
        <v/>
      </c>
      <c r="K439" s="15">
        <f>( $C439&lt;=$Q$1 )*( $D439 &gt; $Q$1 ) * 1</f>
        <v>1</v>
      </c>
      <c r="L439" s="19"/>
      <c r="M439" s="15" t="s">
        <v>766</v>
      </c>
      <c r="N439" s="15" t="s">
        <v>665</v>
      </c>
      <c r="O439" s="19">
        <v>438</v>
      </c>
    </row>
    <row r="440" spans="1:15" x14ac:dyDescent="0.2">
      <c r="A440" s="15" t="s">
        <v>2080</v>
      </c>
      <c r="B440" s="15" t="s">
        <v>872</v>
      </c>
      <c r="C440" s="15">
        <v>17830903</v>
      </c>
      <c r="D440" s="15">
        <v>20261231</v>
      </c>
      <c r="E440" s="15" t="s">
        <v>2404</v>
      </c>
      <c r="F440" s="27" t="s">
        <v>684</v>
      </c>
      <c r="G440" s="27" t="s">
        <v>173</v>
      </c>
      <c r="H440" s="15" t="s">
        <v>607</v>
      </c>
      <c r="I440" s="15" t="s">
        <v>613</v>
      </c>
      <c r="J440" s="27" t="str">
        <f>IF( F440 = "Sovereign", "x", "" )</f>
        <v/>
      </c>
      <c r="K440" s="15">
        <f>( $C440&lt;=$Q$1 )*( $D440 &gt; $Q$1 ) * 1</f>
        <v>1</v>
      </c>
      <c r="L440" s="19"/>
      <c r="M440" s="15" t="s">
        <v>872</v>
      </c>
      <c r="N440" s="15" t="s">
        <v>873</v>
      </c>
      <c r="O440" s="19">
        <v>439</v>
      </c>
    </row>
    <row r="441" spans="1:15" x14ac:dyDescent="0.2">
      <c r="A441" s="29" t="s">
        <v>889</v>
      </c>
      <c r="B441" s="15" t="s">
        <v>777</v>
      </c>
      <c r="C441" s="15">
        <v>16720101</v>
      </c>
      <c r="D441" s="15">
        <v>20261231</v>
      </c>
      <c r="E441" s="15" t="s">
        <v>2404</v>
      </c>
      <c r="F441" s="27" t="s">
        <v>684</v>
      </c>
      <c r="G441" s="27" t="s">
        <v>173</v>
      </c>
      <c r="H441" s="15" t="s">
        <v>607</v>
      </c>
      <c r="I441" s="15" t="s">
        <v>613</v>
      </c>
      <c r="J441" s="27" t="str">
        <f>IF( F441 = "Sovereign", "x", "" )</f>
        <v/>
      </c>
      <c r="K441" s="15">
        <f>( $C441&lt;=$Q$1 )*( $D441 &gt; $Q$1 ) * 1</f>
        <v>1</v>
      </c>
      <c r="L441" s="19"/>
      <c r="M441" s="15" t="s">
        <v>777</v>
      </c>
      <c r="N441" s="15" t="s">
        <v>888</v>
      </c>
      <c r="O441" s="19">
        <v>440</v>
      </c>
    </row>
    <row r="442" spans="1:15" x14ac:dyDescent="0.2">
      <c r="A442" s="29" t="s">
        <v>2084</v>
      </c>
      <c r="B442" s="15" t="s">
        <v>778</v>
      </c>
      <c r="C442" s="15">
        <v>16670101</v>
      </c>
      <c r="D442" s="15">
        <v>20261231</v>
      </c>
      <c r="E442" s="15" t="s">
        <v>2404</v>
      </c>
      <c r="F442" s="27" t="s">
        <v>684</v>
      </c>
      <c r="G442" s="27" t="s">
        <v>173</v>
      </c>
      <c r="H442" s="15" t="s">
        <v>607</v>
      </c>
      <c r="I442" s="15" t="s">
        <v>613</v>
      </c>
      <c r="J442" s="27" t="str">
        <f>IF( F442 = "Sovereign", "x", "" )</f>
        <v/>
      </c>
      <c r="K442" s="15">
        <f>( $C442&lt;=$Q$1 )*( $D442 &gt; $Q$1 ) * 1</f>
        <v>1</v>
      </c>
      <c r="L442" s="19"/>
      <c r="M442" s="15" t="s">
        <v>778</v>
      </c>
      <c r="N442" s="15" t="s">
        <v>890</v>
      </c>
      <c r="O442" s="19">
        <v>441</v>
      </c>
    </row>
    <row r="443" spans="1:15" x14ac:dyDescent="0.2">
      <c r="A443" s="29" t="s">
        <v>2097</v>
      </c>
      <c r="B443" s="15" t="s">
        <v>65</v>
      </c>
      <c r="C443" s="15">
        <v>18040101</v>
      </c>
      <c r="D443" s="15">
        <v>20261231</v>
      </c>
      <c r="F443" s="27" t="s">
        <v>683</v>
      </c>
      <c r="H443" s="28" t="s">
        <v>607</v>
      </c>
      <c r="I443" s="15" t="s">
        <v>2098</v>
      </c>
      <c r="J443" s="27" t="str">
        <f>IF( F443 = "Sovereign", "x", "" )</f>
        <v>x</v>
      </c>
      <c r="K443" s="15">
        <f>( $C443&lt;=$Q$1 )*( $D443 &gt; $Q$1 ) * 1</f>
        <v>1</v>
      </c>
      <c r="L443" s="19"/>
      <c r="N443" s="15" t="s">
        <v>273</v>
      </c>
      <c r="O443" s="19">
        <v>442</v>
      </c>
    </row>
    <row r="444" spans="1:15" x14ac:dyDescent="0.2">
      <c r="A444" s="29" t="s">
        <v>2098</v>
      </c>
      <c r="B444" s="15" t="s">
        <v>2099</v>
      </c>
      <c r="C444" s="15">
        <v>16970101</v>
      </c>
      <c r="D444" s="15">
        <v>18040101</v>
      </c>
      <c r="F444" s="27" t="s">
        <v>684</v>
      </c>
      <c r="G444" s="27" t="s">
        <v>184</v>
      </c>
      <c r="H444" s="28" t="s">
        <v>607</v>
      </c>
      <c r="I444" s="15" t="s">
        <v>613</v>
      </c>
      <c r="J444" s="27" t="str">
        <f>IF( F444 = "Sovereign", "x", "" )</f>
        <v/>
      </c>
      <c r="K444" s="15">
        <f>( $C444&lt;=$Q$1 )*( $D444 &gt; $Q$1 ) * 1</f>
        <v>0</v>
      </c>
      <c r="L444" s="19"/>
      <c r="M444" s="19"/>
      <c r="O444" s="19">
        <v>443</v>
      </c>
    </row>
    <row r="445" spans="1:15" x14ac:dyDescent="0.2">
      <c r="A445" s="29" t="s">
        <v>1006</v>
      </c>
      <c r="B445" s="15" t="s">
        <v>38</v>
      </c>
      <c r="C445" s="15">
        <v>19020520</v>
      </c>
      <c r="D445" s="15">
        <v>20261231</v>
      </c>
      <c r="F445" s="27" t="s">
        <v>683</v>
      </c>
      <c r="H445" s="28" t="s">
        <v>607</v>
      </c>
      <c r="I445" s="26" t="s">
        <v>2105</v>
      </c>
      <c r="J445" s="27" t="str">
        <f>IF( F445 = "Sovereign", "x", "" )</f>
        <v>x</v>
      </c>
      <c r="K445" s="15">
        <f>( $C445&lt;=$Q$1 )*( $D445 &gt; $Q$1 ) * 1</f>
        <v>1</v>
      </c>
      <c r="L445" s="19"/>
      <c r="N445" s="15" t="s">
        <v>237</v>
      </c>
      <c r="O445" s="19">
        <v>444</v>
      </c>
    </row>
    <row r="446" spans="1:15" x14ac:dyDescent="0.2">
      <c r="A446" s="29" t="s">
        <v>2103</v>
      </c>
      <c r="B446" s="15" t="s">
        <v>38</v>
      </c>
      <c r="C446" s="15">
        <v>18981210</v>
      </c>
      <c r="D446" s="15">
        <v>19020520</v>
      </c>
      <c r="E446" s="15" t="s">
        <v>2403</v>
      </c>
      <c r="F446" s="27" t="s">
        <v>684</v>
      </c>
      <c r="G446" s="27" t="s">
        <v>698</v>
      </c>
      <c r="H446" s="28" t="s">
        <v>607</v>
      </c>
      <c r="I446" s="26" t="s">
        <v>2104</v>
      </c>
      <c r="J446" s="27" t="str">
        <f>IF( F446 = "Sovereign", "x", "" )</f>
        <v/>
      </c>
      <c r="K446" s="15">
        <f>( $C446&lt;=$Q$1 )*( $D446 &gt; $Q$1 ) * 1</f>
        <v>0</v>
      </c>
      <c r="L446" s="19"/>
      <c r="M446" s="19"/>
      <c r="O446" s="19">
        <v>445</v>
      </c>
    </row>
    <row r="447" spans="1:15" x14ac:dyDescent="0.2">
      <c r="A447" s="29" t="s">
        <v>2104</v>
      </c>
      <c r="B447" s="15" t="s">
        <v>38</v>
      </c>
      <c r="C447" s="15">
        <v>16070101</v>
      </c>
      <c r="D447" s="15">
        <v>18981210</v>
      </c>
      <c r="E447" s="15" t="s">
        <v>2412</v>
      </c>
      <c r="F447" s="27" t="s">
        <v>684</v>
      </c>
      <c r="G447" s="27" t="s">
        <v>152</v>
      </c>
      <c r="H447" s="28" t="s">
        <v>607</v>
      </c>
      <c r="I447" s="15" t="s">
        <v>613</v>
      </c>
      <c r="J447" s="27" t="str">
        <f>IF( F447 = "Sovereign", "x", "" )</f>
        <v/>
      </c>
      <c r="K447" s="15">
        <f>( $C447&lt;=$Q$1 )*( $D447 &gt; $Q$1 ) * 1</f>
        <v>0</v>
      </c>
      <c r="L447" s="19"/>
      <c r="M447" s="19"/>
      <c r="O447" s="19">
        <v>446</v>
      </c>
    </row>
    <row r="448" spans="1:15" x14ac:dyDescent="0.2">
      <c r="A448" s="29" t="s">
        <v>1003</v>
      </c>
      <c r="B448" s="15" t="s">
        <v>75</v>
      </c>
      <c r="C448" s="15">
        <v>19620806</v>
      </c>
      <c r="D448" s="15">
        <v>20261231</v>
      </c>
      <c r="F448" s="27" t="s">
        <v>683</v>
      </c>
      <c r="H448" s="28" t="s">
        <v>607</v>
      </c>
      <c r="I448" s="26" t="s">
        <v>2114</v>
      </c>
      <c r="J448" s="27" t="str">
        <f>IF( F448 = "Sovereign", "x", "" )</f>
        <v>x</v>
      </c>
      <c r="K448" s="15">
        <f>( $C448&lt;=$Q$1 )*( $D448 &gt; $Q$1 ) * 1</f>
        <v>1</v>
      </c>
      <c r="L448" s="19"/>
      <c r="N448" s="15" t="s">
        <v>289</v>
      </c>
      <c r="O448" s="19">
        <v>447</v>
      </c>
    </row>
    <row r="449" spans="1:15" x14ac:dyDescent="0.2">
      <c r="A449" s="29" t="s">
        <v>2114</v>
      </c>
      <c r="B449" s="15" t="s">
        <v>75</v>
      </c>
      <c r="C449" s="15">
        <v>16550510</v>
      </c>
      <c r="D449" s="15">
        <v>19620806</v>
      </c>
      <c r="E449" s="15" t="s">
        <v>2404</v>
      </c>
      <c r="F449" s="27" t="s">
        <v>684</v>
      </c>
      <c r="G449" s="27" t="s">
        <v>173</v>
      </c>
      <c r="H449" s="28" t="s">
        <v>607</v>
      </c>
      <c r="I449" s="26" t="s">
        <v>2115</v>
      </c>
      <c r="J449" s="27" t="str">
        <f>IF( F449 = "Sovereign", "x", "" )</f>
        <v/>
      </c>
      <c r="K449" s="15">
        <f>( $C449&lt;=$Q$1 )*( $D449 &gt; $Q$1 ) * 1</f>
        <v>0</v>
      </c>
      <c r="L449" s="19"/>
      <c r="M449" s="19"/>
      <c r="O449" s="19">
        <v>448</v>
      </c>
    </row>
    <row r="450" spans="1:15" x14ac:dyDescent="0.2">
      <c r="A450" s="29" t="s">
        <v>2115</v>
      </c>
      <c r="B450" s="15" t="s">
        <v>229</v>
      </c>
      <c r="C450" s="15">
        <v>15090101</v>
      </c>
      <c r="D450" s="15">
        <v>16550510</v>
      </c>
      <c r="E450" s="15" t="s">
        <v>2412</v>
      </c>
      <c r="F450" s="27" t="s">
        <v>684</v>
      </c>
      <c r="G450" s="27" t="s">
        <v>152</v>
      </c>
      <c r="H450" s="28" t="s">
        <v>607</v>
      </c>
      <c r="I450" s="15" t="s">
        <v>613</v>
      </c>
      <c r="J450" s="27" t="str">
        <f>IF( F450 = "Sovereign", "x", "" )</f>
        <v/>
      </c>
      <c r="K450" s="15">
        <f>( $C450&lt;=$Q$1 )*( $D450 &gt; $Q$1 ) * 1</f>
        <v>0</v>
      </c>
      <c r="L450" s="19"/>
      <c r="M450" s="19"/>
      <c r="O450" s="19">
        <v>449</v>
      </c>
    </row>
    <row r="451" spans="1:15" x14ac:dyDescent="0.2">
      <c r="A451" s="29" t="s">
        <v>1011</v>
      </c>
      <c r="B451" s="15" t="s">
        <v>122</v>
      </c>
      <c r="C451" s="15">
        <v>19031103</v>
      </c>
      <c r="D451" s="15">
        <v>20261231</v>
      </c>
      <c r="F451" s="27" t="s">
        <v>683</v>
      </c>
      <c r="H451" s="28" t="s">
        <v>607</v>
      </c>
      <c r="I451" s="15" t="s">
        <v>806</v>
      </c>
      <c r="J451" s="27" t="str">
        <f>IF( F451 = "Sovereign", "x", "" )</f>
        <v>x</v>
      </c>
      <c r="K451" s="15">
        <f>( $C451&lt;=$Q$1 )*( $D451 &gt; $Q$1 ) * 1</f>
        <v>1</v>
      </c>
      <c r="L451" s="19"/>
      <c r="N451" s="15" t="s">
        <v>337</v>
      </c>
      <c r="O451" s="19">
        <v>450</v>
      </c>
    </row>
    <row r="452" spans="1:15" x14ac:dyDescent="0.2">
      <c r="A452" s="29" t="s">
        <v>1020</v>
      </c>
      <c r="B452" s="15" t="s">
        <v>36</v>
      </c>
      <c r="C452" s="15">
        <v>18381114</v>
      </c>
      <c r="D452" s="15">
        <v>20261231</v>
      </c>
      <c r="F452" s="27" t="s">
        <v>683</v>
      </c>
      <c r="H452" s="28" t="s">
        <v>607</v>
      </c>
      <c r="I452" s="15" t="s">
        <v>2126</v>
      </c>
      <c r="J452" s="27" t="str">
        <f>IF( F452 = "Sovereign", "x", "" )</f>
        <v>x</v>
      </c>
      <c r="K452" s="15">
        <f>( $C452&lt;=$Q$1 )*( $D452 &gt; $Q$1 ) * 1</f>
        <v>1</v>
      </c>
      <c r="L452" s="19"/>
      <c r="N452" s="15" t="s">
        <v>233</v>
      </c>
      <c r="O452" s="19">
        <v>451</v>
      </c>
    </row>
    <row r="453" spans="1:15" x14ac:dyDescent="0.2">
      <c r="A453" s="29" t="s">
        <v>2126</v>
      </c>
      <c r="B453" s="15" t="s">
        <v>2127</v>
      </c>
      <c r="C453" s="15">
        <v>18230701</v>
      </c>
      <c r="D453" s="15">
        <v>18410130</v>
      </c>
      <c r="F453" s="27" t="s">
        <v>683</v>
      </c>
      <c r="H453" s="28" t="s">
        <v>607</v>
      </c>
      <c r="I453" s="15" t="s">
        <v>1014</v>
      </c>
      <c r="J453" s="27" t="str">
        <f>IF( F453 = "Sovereign", "x", "" )</f>
        <v>x</v>
      </c>
      <c r="K453" s="15">
        <f>( $C453&lt;=$Q$1 )*( $D453 &gt; $Q$1 ) * 1</f>
        <v>0</v>
      </c>
      <c r="L453" s="19"/>
      <c r="M453" s="19"/>
      <c r="O453" s="19">
        <v>452</v>
      </c>
    </row>
    <row r="454" spans="1:15" x14ac:dyDescent="0.2">
      <c r="A454" s="29" t="s">
        <v>1007</v>
      </c>
      <c r="B454" s="15" t="s">
        <v>114</v>
      </c>
      <c r="C454" s="15">
        <v>18380430</v>
      </c>
      <c r="D454" s="15">
        <v>20261231</v>
      </c>
      <c r="F454" s="27" t="s">
        <v>683</v>
      </c>
      <c r="H454" s="28" t="s">
        <v>607</v>
      </c>
      <c r="I454" s="15" t="s">
        <v>2126</v>
      </c>
      <c r="J454" s="27" t="str">
        <f>IF( F454 = "Sovereign", "x", "" )</f>
        <v>x</v>
      </c>
      <c r="K454" s="15">
        <f>( $C454&lt;=$Q$1 )*( $D454 &gt; $Q$1 ) * 1</f>
        <v>1</v>
      </c>
      <c r="L454" s="19"/>
      <c r="N454" s="15" t="s">
        <v>328</v>
      </c>
      <c r="O454" s="19">
        <v>453</v>
      </c>
    </row>
    <row r="455" spans="1:15" x14ac:dyDescent="0.2">
      <c r="A455" s="29" t="s">
        <v>2144</v>
      </c>
      <c r="B455" s="15" t="s">
        <v>61</v>
      </c>
      <c r="C455" s="15">
        <v>16090101</v>
      </c>
      <c r="D455" s="15">
        <v>18210915</v>
      </c>
      <c r="E455" s="15" t="s">
        <v>2412</v>
      </c>
      <c r="F455" s="27" t="s">
        <v>684</v>
      </c>
      <c r="G455" s="27" t="s">
        <v>152</v>
      </c>
      <c r="H455" s="28" t="s">
        <v>607</v>
      </c>
      <c r="I455" s="15" t="s">
        <v>613</v>
      </c>
      <c r="J455" s="27" t="str">
        <f>IF( F455 = "Sovereign", "x", "" )</f>
        <v/>
      </c>
      <c r="K455" s="15">
        <f>( $C455&lt;=$Q$1 )*( $D455 &gt; $Q$1 ) * 1</f>
        <v>0</v>
      </c>
      <c r="L455" s="19"/>
      <c r="M455" s="19"/>
      <c r="O455" s="19">
        <v>454</v>
      </c>
    </row>
    <row r="456" spans="1:15" x14ac:dyDescent="0.2">
      <c r="A456" s="29" t="s">
        <v>1008</v>
      </c>
      <c r="B456" s="15" t="s">
        <v>66</v>
      </c>
      <c r="C456" s="15">
        <v>18381105</v>
      </c>
      <c r="D456" s="15">
        <v>20261231</v>
      </c>
      <c r="F456" s="27" t="s">
        <v>683</v>
      </c>
      <c r="H456" s="28" t="s">
        <v>607</v>
      </c>
      <c r="I456" s="15" t="s">
        <v>2126</v>
      </c>
      <c r="J456" s="27" t="str">
        <f>IF( F456 = "Sovereign", "x", "" )</f>
        <v>x</v>
      </c>
      <c r="K456" s="15">
        <f>( $C456&lt;=$Q$1 )*( $D456 &gt; $Q$1 ) * 1</f>
        <v>1</v>
      </c>
      <c r="L456" s="19"/>
      <c r="N456" s="15" t="s">
        <v>274</v>
      </c>
      <c r="O456" s="19">
        <v>455</v>
      </c>
    </row>
    <row r="457" spans="1:15" x14ac:dyDescent="0.2">
      <c r="A457" s="29" t="s">
        <v>1013</v>
      </c>
      <c r="B457" s="15" t="s">
        <v>61</v>
      </c>
      <c r="C457" s="15">
        <v>18390417</v>
      </c>
      <c r="D457" s="15">
        <v>20261231</v>
      </c>
      <c r="F457" s="27" t="s">
        <v>683</v>
      </c>
      <c r="H457" s="28" t="s">
        <v>607</v>
      </c>
      <c r="I457" s="15" t="s">
        <v>2126</v>
      </c>
      <c r="J457" s="27" t="str">
        <f>IF( F457 = "Sovereign", "x", "" )</f>
        <v>x</v>
      </c>
      <c r="K457" s="15">
        <f>( $C457&lt;=$Q$1 )*( $D457 &gt; $Q$1 ) * 1</f>
        <v>1</v>
      </c>
      <c r="L457" s="19"/>
      <c r="N457" s="15" t="s">
        <v>265</v>
      </c>
      <c r="O457" s="19">
        <v>456</v>
      </c>
    </row>
    <row r="458" spans="1:15" x14ac:dyDescent="0.2">
      <c r="A458" s="29" t="s">
        <v>1015</v>
      </c>
      <c r="B458" s="15" t="s">
        <v>16</v>
      </c>
      <c r="C458" s="15">
        <v>19810921</v>
      </c>
      <c r="D458" s="15">
        <v>20261231</v>
      </c>
      <c r="F458" s="27" t="s">
        <v>683</v>
      </c>
      <c r="H458" s="28" t="s">
        <v>607</v>
      </c>
      <c r="I458" s="15" t="s">
        <v>2268</v>
      </c>
      <c r="J458" s="27" t="str">
        <f>IF( F458 = "Sovereign", "x", "" )</f>
        <v>x</v>
      </c>
      <c r="K458" s="15">
        <f>( $C458&lt;=$Q$1 )*( $D458 &gt; $Q$1 ) * 1</f>
        <v>1</v>
      </c>
      <c r="L458" s="19"/>
      <c r="N458" s="15" t="s">
        <v>209</v>
      </c>
      <c r="O458" s="19">
        <v>457</v>
      </c>
    </row>
    <row r="459" spans="1:15" x14ac:dyDescent="0.2">
      <c r="A459" s="29" t="s">
        <v>2268</v>
      </c>
      <c r="B459" s="15" t="s">
        <v>2269</v>
      </c>
      <c r="C459" s="15">
        <v>18620101</v>
      </c>
      <c r="D459" s="15">
        <v>19810921</v>
      </c>
      <c r="E459" s="15" t="s">
        <v>2404</v>
      </c>
      <c r="F459" s="27" t="s">
        <v>684</v>
      </c>
      <c r="G459" s="27" t="s">
        <v>173</v>
      </c>
      <c r="H459" s="28" t="s">
        <v>607</v>
      </c>
      <c r="I459" s="15" t="s">
        <v>2144</v>
      </c>
      <c r="J459" s="27" t="str">
        <f>IF( F459 = "Sovereign", "x", "" )</f>
        <v/>
      </c>
      <c r="K459" s="15">
        <f>( $C459&lt;=$Q$1 )*( $D459 &gt; $Q$1 ) * 1</f>
        <v>0</v>
      </c>
      <c r="L459" s="19"/>
      <c r="M459" s="19"/>
      <c r="O459" s="19">
        <v>458</v>
      </c>
    </row>
    <row r="460" spans="1:15" x14ac:dyDescent="0.2">
      <c r="A460" s="29" t="s">
        <v>1019</v>
      </c>
      <c r="B460" s="15" t="s">
        <v>48</v>
      </c>
      <c r="C460" s="15">
        <v>18410130</v>
      </c>
      <c r="D460" s="15">
        <v>20261231</v>
      </c>
      <c r="F460" s="27" t="s">
        <v>683</v>
      </c>
      <c r="H460" s="28" t="s">
        <v>607</v>
      </c>
      <c r="I460" s="15" t="s">
        <v>2126</v>
      </c>
      <c r="J460" s="27" t="str">
        <f>IF( F460 = "Sovereign", "x", "" )</f>
        <v>x</v>
      </c>
      <c r="K460" s="15">
        <f>( $C460&lt;=$Q$1 )*( $D460 &gt; $Q$1 ) * 1</f>
        <v>1</v>
      </c>
      <c r="L460" s="19"/>
      <c r="N460" s="15" t="s">
        <v>249</v>
      </c>
      <c r="O460" s="19">
        <v>459</v>
      </c>
    </row>
    <row r="461" spans="1:15" x14ac:dyDescent="0.2">
      <c r="A461" s="29" t="s">
        <v>1014</v>
      </c>
      <c r="B461" s="15" t="s">
        <v>102</v>
      </c>
      <c r="C461" s="15">
        <v>18210927</v>
      </c>
      <c r="D461" s="15">
        <v>20261231</v>
      </c>
      <c r="F461" s="27" t="s">
        <v>683</v>
      </c>
      <c r="H461" s="28" t="s">
        <v>607</v>
      </c>
      <c r="I461" s="26" t="s">
        <v>2279</v>
      </c>
      <c r="J461" s="27" t="str">
        <f>IF( F461 = "Sovereign", "x", "" )</f>
        <v>x</v>
      </c>
      <c r="K461" s="15">
        <f>( $C461&lt;=$Q$1 )*( $D461 &gt; $Q$1 ) * 1</f>
        <v>1</v>
      </c>
      <c r="L461" s="19"/>
      <c r="N461" s="15" t="s">
        <v>316</v>
      </c>
      <c r="O461" s="19">
        <v>460</v>
      </c>
    </row>
    <row r="462" spans="1:15" x14ac:dyDescent="0.2">
      <c r="A462" s="29" t="s">
        <v>2279</v>
      </c>
      <c r="B462" s="15" t="s">
        <v>2278</v>
      </c>
      <c r="C462" s="15">
        <v>15350101</v>
      </c>
      <c r="D462" s="15">
        <v>18210927</v>
      </c>
      <c r="E462" s="15" t="s">
        <v>2412</v>
      </c>
      <c r="F462" s="27" t="s">
        <v>684</v>
      </c>
      <c r="G462" s="27" t="s">
        <v>152</v>
      </c>
      <c r="H462" s="28" t="s">
        <v>607</v>
      </c>
      <c r="I462" s="15" t="s">
        <v>613</v>
      </c>
      <c r="J462" s="27" t="str">
        <f>IF( F462 = "Sovereign", "x", "" )</f>
        <v/>
      </c>
      <c r="K462" s="15">
        <f>( $C462&lt;=$Q$1 )*( $D462 &gt; $Q$1 ) * 1</f>
        <v>0</v>
      </c>
      <c r="L462" s="19"/>
      <c r="M462" s="19"/>
      <c r="O462" s="19">
        <v>461</v>
      </c>
    </row>
    <row r="463" spans="1:15" x14ac:dyDescent="0.2">
      <c r="A463" s="29" t="s">
        <v>831</v>
      </c>
      <c r="B463" s="15" t="s">
        <v>757</v>
      </c>
      <c r="C463" s="15">
        <v>18981210</v>
      </c>
      <c r="D463" s="15">
        <v>20261231</v>
      </c>
      <c r="E463" s="15" t="s">
        <v>2403</v>
      </c>
      <c r="F463" s="27" t="s">
        <v>684</v>
      </c>
      <c r="G463" s="27" t="s">
        <v>698</v>
      </c>
      <c r="H463" s="15" t="s">
        <v>607</v>
      </c>
      <c r="I463" s="15" t="s">
        <v>833</v>
      </c>
      <c r="J463" s="27" t="str">
        <f>IF( F463 = "Sovereign", "x", "" )</f>
        <v/>
      </c>
      <c r="K463" s="15">
        <f>( $C463&lt;=$Q$1 )*( $D463 &gt; $Q$1 ) * 1</f>
        <v>1</v>
      </c>
      <c r="L463" s="19"/>
      <c r="M463" s="15" t="s">
        <v>835</v>
      </c>
      <c r="N463" s="15" t="s">
        <v>832</v>
      </c>
      <c r="O463" s="19">
        <v>462</v>
      </c>
    </row>
    <row r="464" spans="1:15" x14ac:dyDescent="0.2">
      <c r="A464" s="29" t="s">
        <v>833</v>
      </c>
      <c r="B464" s="15" t="s">
        <v>757</v>
      </c>
      <c r="C464" s="15">
        <v>15820101</v>
      </c>
      <c r="D464" s="15">
        <v>18981210</v>
      </c>
      <c r="E464" s="15" t="s">
        <v>2412</v>
      </c>
      <c r="F464" s="27" t="s">
        <v>684</v>
      </c>
      <c r="G464" s="27" t="s">
        <v>152</v>
      </c>
      <c r="H464" s="15" t="s">
        <v>607</v>
      </c>
      <c r="I464" s="15" t="s">
        <v>613</v>
      </c>
      <c r="J464" s="27" t="str">
        <f>IF( F464 = "Sovereign", "x", "" )</f>
        <v/>
      </c>
      <c r="K464" s="15">
        <f>( $C464&lt;=$Q$1 )*( $D464 &gt; $Q$1 ) * 1</f>
        <v>0</v>
      </c>
      <c r="L464" s="19"/>
      <c r="M464" s="15" t="s">
        <v>834</v>
      </c>
      <c r="N464" s="15" t="s">
        <v>832</v>
      </c>
      <c r="O464" s="19">
        <v>463</v>
      </c>
    </row>
    <row r="465" spans="1:15" x14ac:dyDescent="0.2">
      <c r="A465" s="29" t="s">
        <v>841</v>
      </c>
      <c r="B465" s="15" t="s">
        <v>758</v>
      </c>
      <c r="C465" s="15">
        <v>19170331</v>
      </c>
      <c r="D465" s="15">
        <v>20261231</v>
      </c>
      <c r="E465" s="15" t="s">
        <v>2403</v>
      </c>
      <c r="F465" s="27" t="s">
        <v>684</v>
      </c>
      <c r="G465" s="27" t="s">
        <v>698</v>
      </c>
      <c r="H465" s="15" t="s">
        <v>607</v>
      </c>
      <c r="I465" s="15" t="s">
        <v>837</v>
      </c>
      <c r="J465" s="27" t="str">
        <f>IF( F465 = "Sovereign", "x", "" )</f>
        <v/>
      </c>
      <c r="K465" s="15">
        <f>( $C465&lt;=$Q$1 )*( $D465 &gt; $Q$1 ) * 1</f>
        <v>1</v>
      </c>
      <c r="L465" s="19"/>
      <c r="M465" s="15" t="s">
        <v>840</v>
      </c>
      <c r="N465" s="15" t="s">
        <v>838</v>
      </c>
      <c r="O465" s="19">
        <v>464</v>
      </c>
    </row>
    <row r="466" spans="1:15" x14ac:dyDescent="0.2">
      <c r="A466" s="29" t="s">
        <v>837</v>
      </c>
      <c r="B466" s="15" t="s">
        <v>836</v>
      </c>
      <c r="C466" s="15">
        <v>16720101</v>
      </c>
      <c r="D466" s="15">
        <v>19170331</v>
      </c>
      <c r="E466" s="15" t="s">
        <v>2416</v>
      </c>
      <c r="F466" s="27" t="s">
        <v>684</v>
      </c>
      <c r="G466" s="27" t="s">
        <v>41</v>
      </c>
      <c r="H466" s="15" t="s">
        <v>607</v>
      </c>
      <c r="I466" s="15" t="s">
        <v>613</v>
      </c>
      <c r="J466" s="27" t="str">
        <f>IF( F466 = "Sovereign", "x", "" )</f>
        <v/>
      </c>
      <c r="K466" s="15">
        <f>( $C466&lt;=$Q$1 )*( $D466 &gt; $Q$1 ) * 1</f>
        <v>0</v>
      </c>
      <c r="L466" s="19"/>
      <c r="M466" s="15" t="s">
        <v>836</v>
      </c>
      <c r="N466" s="15" t="s">
        <v>838</v>
      </c>
      <c r="O466" s="19">
        <v>465</v>
      </c>
    </row>
    <row r="467" spans="1:15" x14ac:dyDescent="0.2">
      <c r="A467" s="29" t="s">
        <v>1018</v>
      </c>
      <c r="B467" s="15" t="s">
        <v>389</v>
      </c>
      <c r="C467" s="15">
        <v>17760704</v>
      </c>
      <c r="D467" s="15">
        <v>20261231</v>
      </c>
      <c r="E467" s="15" t="s">
        <v>2402</v>
      </c>
      <c r="F467" s="27" t="s">
        <v>683</v>
      </c>
      <c r="H467" s="28" t="s">
        <v>607</v>
      </c>
      <c r="I467" s="15" t="s">
        <v>2253</v>
      </c>
      <c r="J467" s="27" t="str">
        <f>IF( F467 = "Sovereign", "x", "" )</f>
        <v>x</v>
      </c>
      <c r="K467" s="15">
        <f>( $C467&lt;=$Q$1 )*( $D467 &gt; $Q$1 ) * 1</f>
        <v>1</v>
      </c>
      <c r="L467" s="19"/>
      <c r="N467" s="15" t="s">
        <v>390</v>
      </c>
      <c r="O467" s="19">
        <v>466</v>
      </c>
    </row>
    <row r="468" spans="1:15" x14ac:dyDescent="0.2">
      <c r="A468" s="29" t="s">
        <v>1017</v>
      </c>
      <c r="B468" s="15" t="s">
        <v>29</v>
      </c>
      <c r="C468" s="15">
        <v>18670701</v>
      </c>
      <c r="D468" s="15">
        <v>20261231</v>
      </c>
      <c r="F468" s="27" t="s">
        <v>683</v>
      </c>
      <c r="H468" s="28" t="s">
        <v>607</v>
      </c>
      <c r="I468" s="15" t="s">
        <v>982</v>
      </c>
      <c r="J468" s="27" t="str">
        <f>IF( F468 = "Sovereign", "x", "" )</f>
        <v>x</v>
      </c>
      <c r="K468" s="15">
        <f>( $C468&lt;=$Q$1 )*( $D468 &gt; $Q$1 ) * 1</f>
        <v>1</v>
      </c>
      <c r="L468" s="19"/>
      <c r="N468" s="15" t="s">
        <v>226</v>
      </c>
      <c r="O468" s="19">
        <v>467</v>
      </c>
    </row>
    <row r="469" spans="1:15" x14ac:dyDescent="0.2">
      <c r="A469" s="29" t="s">
        <v>825</v>
      </c>
      <c r="B469" s="15" t="s">
        <v>756</v>
      </c>
      <c r="C469" s="15">
        <v>17210101</v>
      </c>
      <c r="D469" s="15">
        <v>20261231</v>
      </c>
      <c r="E469" s="15" t="s">
        <v>2416</v>
      </c>
      <c r="F469" s="27" t="s">
        <v>684</v>
      </c>
      <c r="G469" s="27" t="s">
        <v>41</v>
      </c>
      <c r="H469" s="15" t="s">
        <v>607</v>
      </c>
      <c r="I469" s="15" t="s">
        <v>613</v>
      </c>
      <c r="J469" s="27" t="str">
        <f>IF( F469 = "Sovereign", "x", "" )</f>
        <v/>
      </c>
      <c r="K469" s="15">
        <f>( $C469&lt;=$Q$1 )*( $D469 &gt; $Q$1 ) * 1</f>
        <v>1</v>
      </c>
      <c r="L469" s="19"/>
      <c r="M469" s="15" t="s">
        <v>826</v>
      </c>
      <c r="N469" s="15" t="s">
        <v>824</v>
      </c>
      <c r="O469" s="19">
        <v>468</v>
      </c>
    </row>
    <row r="470" spans="1:15" x14ac:dyDescent="0.2">
      <c r="A470" s="29" t="s">
        <v>1499</v>
      </c>
      <c r="B470" s="15" t="s">
        <v>775</v>
      </c>
      <c r="C470" s="15">
        <v>18140530</v>
      </c>
      <c r="D470" s="15">
        <v>20261231</v>
      </c>
      <c r="E470" s="15" t="s">
        <v>2408</v>
      </c>
      <c r="F470" s="27" t="s">
        <v>684</v>
      </c>
      <c r="G470" s="27" t="s">
        <v>184</v>
      </c>
      <c r="H470" s="15" t="s">
        <v>607</v>
      </c>
      <c r="I470" s="15" t="s">
        <v>613</v>
      </c>
      <c r="J470" s="27" t="str">
        <f>IF( F470 = "Sovereign", "x", "" )</f>
        <v/>
      </c>
      <c r="K470" s="15">
        <f>( $C470&lt;=$Q$1 )*( $D470 &gt; $Q$1 ) * 1</f>
        <v>1</v>
      </c>
      <c r="L470" s="19" t="s">
        <v>624</v>
      </c>
      <c r="M470" s="15" t="s">
        <v>775</v>
      </c>
      <c r="N470" s="15" t="s">
        <v>886</v>
      </c>
      <c r="O470" s="19">
        <v>469</v>
      </c>
    </row>
    <row r="471" spans="1:15" x14ac:dyDescent="0.2">
      <c r="A471" s="29" t="s">
        <v>755</v>
      </c>
      <c r="B471" s="15" t="s">
        <v>8</v>
      </c>
      <c r="C471" s="15">
        <v>19010101</v>
      </c>
      <c r="D471" s="15">
        <v>20261231</v>
      </c>
      <c r="F471" s="27" t="s">
        <v>683</v>
      </c>
      <c r="H471" s="28" t="s">
        <v>609</v>
      </c>
      <c r="I471" s="15" t="s">
        <v>752</v>
      </c>
      <c r="J471" s="27" t="str">
        <f>IF( F471 = "Sovereign", "x", "" )</f>
        <v>x</v>
      </c>
      <c r="K471" s="15">
        <f>( $C471&lt;=$Q$1 )*( $D471 &gt; $Q$1 ) * 1</f>
        <v>1</v>
      </c>
      <c r="L471" s="19"/>
      <c r="M471" s="15" t="s">
        <v>754</v>
      </c>
      <c r="N471" s="15" t="s">
        <v>643</v>
      </c>
      <c r="O471" s="19">
        <v>470</v>
      </c>
    </row>
    <row r="472" spans="1:15" x14ac:dyDescent="0.2">
      <c r="A472" s="29" t="s">
        <v>752</v>
      </c>
      <c r="B472" s="15" t="s">
        <v>753</v>
      </c>
      <c r="C472" s="15">
        <v>17880118</v>
      </c>
      <c r="D472" s="15">
        <v>19010101</v>
      </c>
      <c r="E472" s="15" t="s">
        <v>2404</v>
      </c>
      <c r="F472" s="27" t="s">
        <v>684</v>
      </c>
      <c r="G472" s="27" t="s">
        <v>173</v>
      </c>
      <c r="H472" s="28" t="s">
        <v>609</v>
      </c>
      <c r="I472" s="15" t="s">
        <v>613</v>
      </c>
      <c r="J472" s="27" t="str">
        <f>IF( F472 = "Sovereign", "x", "" )</f>
        <v/>
      </c>
      <c r="K472" s="15">
        <f>( $C472&lt;=$Q$1 )*( $D472 &gt; $Q$1 ) * 1</f>
        <v>0</v>
      </c>
      <c r="L472" s="19"/>
      <c r="M472" s="15" t="s">
        <v>641</v>
      </c>
      <c r="N472" s="15" t="s">
        <v>642</v>
      </c>
      <c r="O472" s="19">
        <v>471</v>
      </c>
    </row>
    <row r="473" spans="1:15" x14ac:dyDescent="0.2">
      <c r="A473" s="29" t="s">
        <v>750</v>
      </c>
      <c r="B473" s="15" t="s">
        <v>113</v>
      </c>
      <c r="C473" s="15">
        <v>19070926</v>
      </c>
      <c r="D473" s="15">
        <v>20261231</v>
      </c>
      <c r="F473" s="27" t="s">
        <v>683</v>
      </c>
      <c r="H473" s="28" t="s">
        <v>609</v>
      </c>
      <c r="I473" s="15" t="s">
        <v>748</v>
      </c>
      <c r="J473" s="27" t="str">
        <f>IF( F473 = "Sovereign", "x", "" )</f>
        <v>x</v>
      </c>
      <c r="K473" s="15">
        <f>( $C473&lt;=$Q$1 )*( $D473 &gt; $Q$1 ) * 1</f>
        <v>1</v>
      </c>
      <c r="L473" s="19"/>
      <c r="M473" s="15" t="s">
        <v>751</v>
      </c>
      <c r="N473" s="15" t="s">
        <v>327</v>
      </c>
      <c r="O473" s="19">
        <v>472</v>
      </c>
    </row>
    <row r="474" spans="1:15" x14ac:dyDescent="0.2">
      <c r="A474" s="29" t="s">
        <v>748</v>
      </c>
      <c r="B474" s="15" t="s">
        <v>113</v>
      </c>
      <c r="C474" s="15">
        <v>18410503</v>
      </c>
      <c r="D474" s="15">
        <v>19070926</v>
      </c>
      <c r="E474" s="15" t="s">
        <v>2404</v>
      </c>
      <c r="F474" s="27" t="s">
        <v>684</v>
      </c>
      <c r="G474" s="27" t="s">
        <v>173</v>
      </c>
      <c r="H474" s="28" t="s">
        <v>609</v>
      </c>
      <c r="I474" s="15" t="s">
        <v>752</v>
      </c>
      <c r="J474" s="27" t="str">
        <f>IF( F474 = "Sovereign", "x", "" )</f>
        <v/>
      </c>
      <c r="K474" s="15">
        <f>( $C474&lt;=$Q$1 )*( $D474 &gt; $Q$1 ) * 1</f>
        <v>0</v>
      </c>
      <c r="L474" s="19"/>
      <c r="M474" s="15" t="s">
        <v>749</v>
      </c>
      <c r="N474" s="15" t="s">
        <v>640</v>
      </c>
      <c r="O474" s="19">
        <v>473</v>
      </c>
    </row>
    <row r="475" spans="1:15" x14ac:dyDescent="0.2">
      <c r="A475" s="29" t="s">
        <v>744</v>
      </c>
      <c r="B475" s="15" t="s">
        <v>123</v>
      </c>
      <c r="C475" s="15">
        <v>19750916</v>
      </c>
      <c r="D475" s="15">
        <v>20261231</v>
      </c>
      <c r="F475" s="27" t="s">
        <v>683</v>
      </c>
      <c r="H475" s="28" t="s">
        <v>609</v>
      </c>
      <c r="I475" s="15" t="s">
        <v>741</v>
      </c>
      <c r="J475" s="27" t="str">
        <f>IF( F475 = "Sovereign", "x", "" )</f>
        <v>x</v>
      </c>
      <c r="K475" s="15">
        <f>( $C475&lt;=$Q$1 )*( $D475 &gt; $Q$1 ) * 1</f>
        <v>1</v>
      </c>
      <c r="L475" s="19"/>
      <c r="M475" s="15" t="s">
        <v>745</v>
      </c>
      <c r="N475" s="15" t="s">
        <v>338</v>
      </c>
      <c r="O475" s="19">
        <v>474</v>
      </c>
    </row>
    <row r="476" spans="1:15" x14ac:dyDescent="0.2">
      <c r="A476" s="29" t="s">
        <v>741</v>
      </c>
      <c r="B476" s="15" t="s">
        <v>123</v>
      </c>
      <c r="C476" s="15">
        <v>19490701</v>
      </c>
      <c r="D476" s="15">
        <v>19750916</v>
      </c>
      <c r="F476" s="27" t="s">
        <v>684</v>
      </c>
      <c r="G476" s="27" t="s">
        <v>8</v>
      </c>
      <c r="H476" s="28" t="s">
        <v>609</v>
      </c>
      <c r="I476" s="15" t="s">
        <v>2303</v>
      </c>
      <c r="J476" s="27" t="str">
        <f>IF( F476 = "Sovereign", "x", "" )</f>
        <v/>
      </c>
      <c r="K476" s="15">
        <f>( $C476&lt;=$Q$1 )*( $D476 &gt; $Q$1 ) * 1</f>
        <v>0</v>
      </c>
      <c r="L476" s="19"/>
      <c r="M476" s="15" t="s">
        <v>740</v>
      </c>
      <c r="N476" s="15" t="s">
        <v>338</v>
      </c>
      <c r="O476" s="19">
        <v>475</v>
      </c>
    </row>
    <row r="477" spans="1:15" x14ac:dyDescent="0.2">
      <c r="A477" s="29" t="s">
        <v>738</v>
      </c>
      <c r="B477" s="15" t="s">
        <v>746</v>
      </c>
      <c r="C477" s="15">
        <v>19201217</v>
      </c>
      <c r="D477" s="15">
        <v>19490701</v>
      </c>
      <c r="F477" s="27" t="s">
        <v>684</v>
      </c>
      <c r="G477" s="27" t="s">
        <v>8</v>
      </c>
      <c r="H477" s="28" t="s">
        <v>609</v>
      </c>
      <c r="I477" s="15" t="s">
        <v>714</v>
      </c>
      <c r="J477" s="27" t="str">
        <f>IF( F477 = "Sovereign", "x", "" )</f>
        <v/>
      </c>
      <c r="K477" s="15">
        <f>( $C477&lt;=$Q$1 )*( $D477 &gt; $Q$1 ) * 1</f>
        <v>0</v>
      </c>
      <c r="L477" s="19"/>
      <c r="M477" s="15" t="s">
        <v>636</v>
      </c>
      <c r="N477" s="15" t="s">
        <v>637</v>
      </c>
      <c r="O477" s="19">
        <v>476</v>
      </c>
    </row>
    <row r="478" spans="1:15" x14ac:dyDescent="0.2">
      <c r="A478" s="29" t="s">
        <v>2302</v>
      </c>
      <c r="B478" s="15" t="s">
        <v>747</v>
      </c>
      <c r="C478" s="15">
        <v>19020318</v>
      </c>
      <c r="D478" s="15">
        <v>19490701</v>
      </c>
      <c r="F478" s="27" t="s">
        <v>684</v>
      </c>
      <c r="G478" s="27" t="s">
        <v>8</v>
      </c>
      <c r="H478" s="28" t="s">
        <v>609</v>
      </c>
      <c r="I478" s="15" t="s">
        <v>739</v>
      </c>
      <c r="J478" s="27" t="str">
        <f>IF( F478 = "Sovereign", "x", "" )</f>
        <v/>
      </c>
      <c r="K478" s="15">
        <f>( $C478&lt;=$Q$1 )*( $D478 &gt; $Q$1 ) * 1</f>
        <v>0</v>
      </c>
      <c r="L478" s="19"/>
      <c r="M478" s="15" t="s">
        <v>742</v>
      </c>
      <c r="N478" s="15" t="s">
        <v>338</v>
      </c>
      <c r="O478" s="19">
        <v>477</v>
      </c>
    </row>
    <row r="479" spans="1:15" ht="17" customHeight="1" x14ac:dyDescent="0.2">
      <c r="A479" s="29" t="s">
        <v>739</v>
      </c>
      <c r="B479" s="15" t="s">
        <v>743</v>
      </c>
      <c r="C479" s="15">
        <v>18841021</v>
      </c>
      <c r="D479" s="15">
        <v>19020318</v>
      </c>
      <c r="E479" s="15" t="s">
        <v>2404</v>
      </c>
      <c r="F479" s="27" t="s">
        <v>684</v>
      </c>
      <c r="G479" s="27" t="s">
        <v>173</v>
      </c>
      <c r="H479" s="28" t="s">
        <v>609</v>
      </c>
      <c r="I479" s="15" t="s">
        <v>613</v>
      </c>
      <c r="J479" s="27" t="str">
        <f>IF( F479 = "Sovereign", "x", "" )</f>
        <v/>
      </c>
      <c r="K479" s="15">
        <f>( $C479&lt;=$Q$1 )*( $D479 &gt; $Q$1 ) * 1</f>
        <v>0</v>
      </c>
      <c r="L479" s="19"/>
      <c r="M479" s="15" t="s">
        <v>743</v>
      </c>
      <c r="N479" s="15" t="s">
        <v>338</v>
      </c>
      <c r="O479" s="19">
        <v>478</v>
      </c>
    </row>
    <row r="480" spans="1:15" x14ac:dyDescent="0.2">
      <c r="A480" s="29" t="s">
        <v>714</v>
      </c>
      <c r="B480" s="15" t="s">
        <v>615</v>
      </c>
      <c r="C480" s="15">
        <v>18841103</v>
      </c>
      <c r="D480" s="15">
        <v>19201217</v>
      </c>
      <c r="E480" s="15" t="s">
        <v>2407</v>
      </c>
      <c r="F480" s="27" t="s">
        <v>684</v>
      </c>
      <c r="G480" s="27" t="s">
        <v>57</v>
      </c>
      <c r="H480" s="28" t="s">
        <v>609</v>
      </c>
      <c r="I480" s="15" t="s">
        <v>613</v>
      </c>
      <c r="J480" s="27" t="str">
        <f>IF( F480 = "Sovereign", "x", "" )</f>
        <v/>
      </c>
      <c r="K480" s="15">
        <f>( $C480&lt;=$Q$1 )*( $D480 &gt; $Q$1 ) * 1</f>
        <v>0</v>
      </c>
      <c r="L480" s="19"/>
      <c r="M480" s="15" t="s">
        <v>615</v>
      </c>
      <c r="N480" s="15" t="s">
        <v>616</v>
      </c>
      <c r="O480" s="19">
        <v>479</v>
      </c>
    </row>
    <row r="481" spans="1:15" x14ac:dyDescent="0.2">
      <c r="A481" s="29" t="s">
        <v>734</v>
      </c>
      <c r="B481" s="15" t="s">
        <v>147</v>
      </c>
      <c r="C481" s="15">
        <v>19780707</v>
      </c>
      <c r="D481" s="15">
        <v>20261231</v>
      </c>
      <c r="F481" s="27" t="s">
        <v>683</v>
      </c>
      <c r="H481" s="28" t="s">
        <v>609</v>
      </c>
      <c r="I481" s="15" t="s">
        <v>732</v>
      </c>
      <c r="J481" s="27" t="str">
        <f>IF( F481 = "Sovereign", "x", "" )</f>
        <v>x</v>
      </c>
      <c r="K481" s="15">
        <f>( $C481&lt;=$Q$1 )*( $D481 &gt; $Q$1 ) * 1</f>
        <v>1</v>
      </c>
      <c r="L481" s="19"/>
      <c r="M481" s="15" t="s">
        <v>147</v>
      </c>
      <c r="N481" s="15" t="s">
        <v>360</v>
      </c>
      <c r="O481" s="19">
        <v>480</v>
      </c>
    </row>
    <row r="482" spans="1:15" x14ac:dyDescent="0.2">
      <c r="A482" s="29" t="s">
        <v>732</v>
      </c>
      <c r="B482" s="15" t="s">
        <v>633</v>
      </c>
      <c r="C482" s="15">
        <v>18930315</v>
      </c>
      <c r="D482" s="15">
        <v>19780707</v>
      </c>
      <c r="E482" s="15" t="s">
        <v>2404</v>
      </c>
      <c r="F482" s="27" t="s">
        <v>684</v>
      </c>
      <c r="G482" s="27" t="s">
        <v>173</v>
      </c>
      <c r="H482" s="28" t="s">
        <v>609</v>
      </c>
      <c r="I482" s="15" t="s">
        <v>715</v>
      </c>
      <c r="J482" s="27" t="str">
        <f>IF( F482 = "Sovereign", "x", "" )</f>
        <v/>
      </c>
      <c r="K482" s="15">
        <f>( $C482&lt;=$Q$1 )*( $D482 &gt; $Q$1 ) * 1</f>
        <v>0</v>
      </c>
      <c r="L482" s="19"/>
      <c r="M482" s="15" t="s">
        <v>733</v>
      </c>
      <c r="N482" s="15" t="s">
        <v>634</v>
      </c>
      <c r="O482" s="19">
        <v>481</v>
      </c>
    </row>
    <row r="483" spans="1:15" x14ac:dyDescent="0.2">
      <c r="A483" s="29" t="s">
        <v>687</v>
      </c>
      <c r="B483" s="15" t="s">
        <v>169</v>
      </c>
      <c r="C483" s="15">
        <v>19781001</v>
      </c>
      <c r="D483" s="15">
        <v>20261231</v>
      </c>
      <c r="F483" s="27" t="s">
        <v>683</v>
      </c>
      <c r="H483" s="28" t="s">
        <v>609</v>
      </c>
      <c r="I483" s="15" t="s">
        <v>695</v>
      </c>
      <c r="J483" s="27" t="str">
        <f>IF( F483 = "Sovereign", "x", "" )</f>
        <v>x</v>
      </c>
      <c r="K483" s="15">
        <f>( $C483&lt;=$Q$1 )*( $D483 &gt; $Q$1 ) * 1</f>
        <v>1</v>
      </c>
      <c r="L483" s="19"/>
      <c r="M483" s="15" t="s">
        <v>169</v>
      </c>
      <c r="N483" s="15" t="s">
        <v>384</v>
      </c>
      <c r="O483" s="19">
        <v>482</v>
      </c>
    </row>
    <row r="484" spans="1:15" x14ac:dyDescent="0.2">
      <c r="A484" s="29" t="s">
        <v>695</v>
      </c>
      <c r="B484" s="15" t="s">
        <v>169</v>
      </c>
      <c r="C484" s="15">
        <v>19760101</v>
      </c>
      <c r="D484" s="15">
        <v>19781001</v>
      </c>
      <c r="E484" s="15" t="s">
        <v>2404</v>
      </c>
      <c r="F484" s="27" t="s">
        <v>684</v>
      </c>
      <c r="G484" s="27" t="s">
        <v>173</v>
      </c>
      <c r="H484" s="28" t="s">
        <v>609</v>
      </c>
      <c r="I484" s="15" t="s">
        <v>689</v>
      </c>
      <c r="J484" s="27" t="str">
        <f>IF( F484 = "Sovereign", "x", "" )</f>
        <v/>
      </c>
      <c r="K484" s="15">
        <f>( $C484&lt;=$Q$1 )*( $D484 &gt; $Q$1 ) * 1</f>
        <v>0</v>
      </c>
      <c r="L484" s="19"/>
      <c r="M484" s="15" t="s">
        <v>696</v>
      </c>
      <c r="N484" s="15" t="s">
        <v>384</v>
      </c>
      <c r="O484" s="19">
        <v>483</v>
      </c>
    </row>
    <row r="485" spans="1:15" x14ac:dyDescent="0.2">
      <c r="A485" s="29" t="s">
        <v>719</v>
      </c>
      <c r="B485" s="15" t="s">
        <v>164</v>
      </c>
      <c r="C485" s="15">
        <v>19700604</v>
      </c>
      <c r="D485" s="15">
        <v>20261231</v>
      </c>
      <c r="F485" s="27" t="s">
        <v>683</v>
      </c>
      <c r="H485" s="28" t="s">
        <v>609</v>
      </c>
      <c r="I485" s="15" t="s">
        <v>718</v>
      </c>
      <c r="J485" s="27" t="str">
        <f>IF( F485 = "Sovereign", "x", "" )</f>
        <v>x</v>
      </c>
      <c r="K485" s="15">
        <f>( $C485&lt;=$Q$1 )*( $D485 &gt; $Q$1 ) * 1</f>
        <v>1</v>
      </c>
      <c r="L485" s="19"/>
      <c r="M485" s="15" t="s">
        <v>717</v>
      </c>
      <c r="N485" s="15" t="s">
        <v>379</v>
      </c>
      <c r="O485" s="19">
        <v>484</v>
      </c>
    </row>
    <row r="486" spans="1:15" x14ac:dyDescent="0.2">
      <c r="A486" s="29" t="s">
        <v>718</v>
      </c>
      <c r="B486" s="15" t="s">
        <v>164</v>
      </c>
      <c r="C486" s="15">
        <v>19000518</v>
      </c>
      <c r="D486" s="15">
        <v>19700604</v>
      </c>
      <c r="E486" s="15" t="s">
        <v>2404</v>
      </c>
      <c r="F486" s="27" t="s">
        <v>684</v>
      </c>
      <c r="G486" s="27" t="s">
        <v>173</v>
      </c>
      <c r="H486" s="28" t="s">
        <v>609</v>
      </c>
      <c r="I486" s="15" t="s">
        <v>613</v>
      </c>
      <c r="J486" s="27" t="str">
        <f>IF( F486 = "Sovereign", "x", "" )</f>
        <v/>
      </c>
      <c r="K486" s="15">
        <f>( $C486&lt;=$Q$1 )*( $D486 &gt; $Q$1 ) * 1</f>
        <v>0</v>
      </c>
      <c r="L486" s="19"/>
      <c r="M486" s="15" t="s">
        <v>717</v>
      </c>
      <c r="N486" s="15" t="s">
        <v>379</v>
      </c>
      <c r="O486" s="19">
        <v>485</v>
      </c>
    </row>
    <row r="487" spans="1:15" x14ac:dyDescent="0.2">
      <c r="A487" s="29" t="s">
        <v>730</v>
      </c>
      <c r="B487" s="15" t="s">
        <v>54</v>
      </c>
      <c r="C487" s="15">
        <v>19701010</v>
      </c>
      <c r="D487" s="15">
        <v>20261231</v>
      </c>
      <c r="F487" s="27" t="s">
        <v>683</v>
      </c>
      <c r="H487" s="28" t="s">
        <v>609</v>
      </c>
      <c r="I487" s="15" t="s">
        <v>729</v>
      </c>
      <c r="J487" s="27" t="str">
        <f>IF( F487 = "Sovereign", "x", "" )</f>
        <v>x</v>
      </c>
      <c r="K487" s="15">
        <f>( $C487&lt;=$Q$1 )*( $D487 &gt; $Q$1 ) * 1</f>
        <v>1</v>
      </c>
      <c r="L487" s="19"/>
      <c r="M487" s="15" t="s">
        <v>731</v>
      </c>
      <c r="N487" s="15" t="s">
        <v>255</v>
      </c>
      <c r="O487" s="19">
        <v>486</v>
      </c>
    </row>
    <row r="488" spans="1:15" x14ac:dyDescent="0.2">
      <c r="A488" s="29" t="s">
        <v>729</v>
      </c>
      <c r="B488" s="15" t="s">
        <v>54</v>
      </c>
      <c r="C488" s="15">
        <v>18741010</v>
      </c>
      <c r="D488" s="15">
        <v>19701010</v>
      </c>
      <c r="E488" s="15" t="s">
        <v>2404</v>
      </c>
      <c r="F488" s="27" t="s">
        <v>684</v>
      </c>
      <c r="G488" s="27" t="s">
        <v>173</v>
      </c>
      <c r="H488" s="28" t="s">
        <v>609</v>
      </c>
      <c r="I488" s="15" t="s">
        <v>613</v>
      </c>
      <c r="J488" s="27" t="str">
        <f>IF( F488 = "Sovereign", "x", "" )</f>
        <v/>
      </c>
      <c r="K488" s="15">
        <f>( $C488&lt;=$Q$1 )*( $D488 &gt; $Q$1 ) * 1</f>
        <v>0</v>
      </c>
      <c r="L488" s="19"/>
      <c r="M488" s="15" t="s">
        <v>728</v>
      </c>
      <c r="N488" s="15" t="s">
        <v>632</v>
      </c>
      <c r="O488" s="19">
        <v>487</v>
      </c>
    </row>
    <row r="489" spans="1:15" x14ac:dyDescent="0.2">
      <c r="A489" s="29" t="s">
        <v>893</v>
      </c>
      <c r="B489" s="15" t="s">
        <v>759</v>
      </c>
      <c r="C489" s="15">
        <v>19000417</v>
      </c>
      <c r="D489" s="15">
        <v>20261231</v>
      </c>
      <c r="E489" s="15" t="s">
        <v>2403</v>
      </c>
      <c r="F489" s="27" t="s">
        <v>684</v>
      </c>
      <c r="G489" s="27" t="s">
        <v>698</v>
      </c>
      <c r="H489" s="15" t="s">
        <v>609</v>
      </c>
      <c r="I489" s="15" t="s">
        <v>613</v>
      </c>
      <c r="J489" s="27" t="str">
        <f>IF( F489 = "Sovereign", "x", "" )</f>
        <v/>
      </c>
      <c r="K489" s="15">
        <f>( $C489&lt;=$Q$1 )*( $D489 &gt; $Q$1 ) * 1</f>
        <v>1</v>
      </c>
      <c r="L489" s="19"/>
      <c r="M489" s="15" t="s">
        <v>759</v>
      </c>
      <c r="N489" s="15" t="s">
        <v>842</v>
      </c>
      <c r="O489" s="19">
        <v>488</v>
      </c>
    </row>
    <row r="490" spans="1:15" x14ac:dyDescent="0.2">
      <c r="A490" s="29" t="s">
        <v>721</v>
      </c>
      <c r="B490" s="15" t="s">
        <v>137</v>
      </c>
      <c r="C490" s="15">
        <v>19620101</v>
      </c>
      <c r="D490" s="15">
        <v>20261231</v>
      </c>
      <c r="F490" s="27" t="s">
        <v>683</v>
      </c>
      <c r="H490" s="28" t="s">
        <v>609</v>
      </c>
      <c r="I490" s="15" t="s">
        <v>723</v>
      </c>
      <c r="J490" s="27" t="str">
        <f>IF( F490 = "Sovereign", "x", "" )</f>
        <v>x</v>
      </c>
      <c r="K490" s="15">
        <f>( $C490&lt;=$Q$1 )*( $D490 &gt; $Q$1 ) * 1</f>
        <v>1</v>
      </c>
      <c r="L490" s="19"/>
      <c r="M490" s="15" t="s">
        <v>720</v>
      </c>
      <c r="N490" s="15" t="s">
        <v>352</v>
      </c>
      <c r="O490" s="19">
        <v>489</v>
      </c>
    </row>
    <row r="491" spans="1:15" x14ac:dyDescent="0.2">
      <c r="A491" s="29" t="s">
        <v>723</v>
      </c>
      <c r="B491" s="15" t="s">
        <v>722</v>
      </c>
      <c r="C491" s="15">
        <v>19140830</v>
      </c>
      <c r="D491" s="15">
        <v>19620101</v>
      </c>
      <c r="F491" s="27" t="s">
        <v>684</v>
      </c>
      <c r="G491" s="27" t="s">
        <v>113</v>
      </c>
      <c r="H491" s="28" t="s">
        <v>609</v>
      </c>
      <c r="I491" s="15" t="s">
        <v>724</v>
      </c>
      <c r="J491" s="27" t="str">
        <f>IF( F491 = "Sovereign", "x", "" )</f>
        <v/>
      </c>
      <c r="K491" s="15">
        <f>( $C491&lt;=$Q$1 )*( $D491 &gt; $Q$1 ) * 1</f>
        <v>0</v>
      </c>
      <c r="L491" s="19"/>
      <c r="M491" s="15" t="s">
        <v>630</v>
      </c>
      <c r="N491" s="15" t="s">
        <v>352</v>
      </c>
      <c r="O491" s="19">
        <v>490</v>
      </c>
    </row>
    <row r="492" spans="1:15" x14ac:dyDescent="0.2">
      <c r="A492" s="29" t="s">
        <v>724</v>
      </c>
      <c r="B492" s="15" t="s">
        <v>629</v>
      </c>
      <c r="C492" s="15">
        <v>19000301</v>
      </c>
      <c r="D492" s="15">
        <v>19140830</v>
      </c>
      <c r="E492" s="15" t="s">
        <v>2407</v>
      </c>
      <c r="F492" s="27" t="s">
        <v>684</v>
      </c>
      <c r="G492" s="27" t="s">
        <v>57</v>
      </c>
      <c r="H492" s="28" t="s">
        <v>609</v>
      </c>
      <c r="I492" s="15" t="s">
        <v>613</v>
      </c>
      <c r="J492" s="27" t="str">
        <f>IF( F492 = "Sovereign", "x", "" )</f>
        <v/>
      </c>
      <c r="K492" s="15">
        <f>( $C492&lt;=$Q$1 )*( $D492 &gt; $Q$1 ) * 1</f>
        <v>0</v>
      </c>
      <c r="L492" s="19"/>
      <c r="M492" s="15" t="s">
        <v>629</v>
      </c>
      <c r="N492" s="15" t="s">
        <v>352</v>
      </c>
      <c r="O492" s="19">
        <v>491</v>
      </c>
    </row>
    <row r="493" spans="1:15" x14ac:dyDescent="0.2">
      <c r="A493" s="29" t="s">
        <v>726</v>
      </c>
      <c r="B493" s="15" t="s">
        <v>176</v>
      </c>
      <c r="C493" s="15">
        <v>19800730</v>
      </c>
      <c r="D493" s="15">
        <v>20261231</v>
      </c>
      <c r="F493" s="27" t="s">
        <v>683</v>
      </c>
      <c r="H493" s="28" t="s">
        <v>609</v>
      </c>
      <c r="I493" s="15" t="s">
        <v>2321</v>
      </c>
      <c r="J493" s="27" t="str">
        <f>IF( F493 = "Sovereign", "x", "" )</f>
        <v>x</v>
      </c>
      <c r="K493" s="15">
        <f>( $C493&lt;=$Q$1 )*( $D493 &gt; $Q$1 ) * 1</f>
        <v>1</v>
      </c>
      <c r="L493" s="19"/>
      <c r="M493" s="15" t="s">
        <v>727</v>
      </c>
      <c r="N493" s="15" t="s">
        <v>393</v>
      </c>
      <c r="O493" s="19">
        <v>492</v>
      </c>
    </row>
    <row r="494" spans="1:15" x14ac:dyDescent="0.2">
      <c r="A494" s="29" t="s">
        <v>2321</v>
      </c>
      <c r="B494" s="15" t="s">
        <v>725</v>
      </c>
      <c r="C494" s="15">
        <v>19061020</v>
      </c>
      <c r="D494" s="15">
        <v>19800730</v>
      </c>
      <c r="F494" s="27" t="s">
        <v>684</v>
      </c>
      <c r="G494" s="27" t="s">
        <v>2320</v>
      </c>
      <c r="H494" s="28" t="s">
        <v>609</v>
      </c>
      <c r="I494" s="15" t="s">
        <v>613</v>
      </c>
      <c r="J494" s="27" t="str">
        <f>IF( F494 = "Sovereign", "x", "" )</f>
        <v/>
      </c>
      <c r="K494" s="15">
        <f>( $C494&lt;=$Q$1 )*( $D494 &gt; $Q$1 ) * 1</f>
        <v>0</v>
      </c>
      <c r="L494" s="19"/>
      <c r="M494" s="15" t="s">
        <v>631</v>
      </c>
      <c r="N494" s="15" t="s">
        <v>393</v>
      </c>
      <c r="O494" s="19">
        <v>493</v>
      </c>
    </row>
    <row r="495" spans="1:15" x14ac:dyDescent="0.2">
      <c r="A495" s="29" t="s">
        <v>735</v>
      </c>
      <c r="B495" s="15" t="s">
        <v>110</v>
      </c>
      <c r="C495" s="15">
        <v>19680131</v>
      </c>
      <c r="D495" s="15">
        <v>20261231</v>
      </c>
      <c r="F495" s="27" t="s">
        <v>683</v>
      </c>
      <c r="H495" s="28" t="s">
        <v>609</v>
      </c>
      <c r="I495" s="15" t="s">
        <v>737</v>
      </c>
      <c r="J495" s="27" t="str">
        <f>IF( F495 = "Sovereign", "x", "" )</f>
        <v>x</v>
      </c>
      <c r="K495" s="15">
        <f>( $C495&lt;=$Q$1 )*( $D495 &gt; $Q$1 ) * 1</f>
        <v>1</v>
      </c>
      <c r="L495" s="19"/>
      <c r="M495" s="15" t="s">
        <v>736</v>
      </c>
      <c r="N495" s="15" t="s">
        <v>281</v>
      </c>
      <c r="O495" s="19">
        <v>494</v>
      </c>
    </row>
    <row r="496" spans="1:15" x14ac:dyDescent="0.2">
      <c r="A496" s="29" t="s">
        <v>737</v>
      </c>
      <c r="B496" s="15" t="s">
        <v>110</v>
      </c>
      <c r="C496" s="15">
        <v>19201217</v>
      </c>
      <c r="D496" s="15">
        <v>19680131</v>
      </c>
      <c r="F496" s="27" t="s">
        <v>684</v>
      </c>
      <c r="G496" s="27" t="s">
        <v>8</v>
      </c>
      <c r="H496" s="28" t="s">
        <v>609</v>
      </c>
      <c r="I496" s="15" t="s">
        <v>716</v>
      </c>
      <c r="J496" s="27" t="str">
        <f>IF( F496 = "Sovereign", "x", "" )</f>
        <v/>
      </c>
      <c r="K496" s="15">
        <f>( $C496&lt;=$Q$1 )*( $D496 &gt; $Q$1 ) * 1</f>
        <v>0</v>
      </c>
      <c r="L496" s="19"/>
      <c r="M496" s="15" t="s">
        <v>635</v>
      </c>
      <c r="O496" s="19">
        <v>495</v>
      </c>
    </row>
    <row r="497" spans="1:22" x14ac:dyDescent="0.2">
      <c r="A497" s="29" t="s">
        <v>2324</v>
      </c>
      <c r="B497" s="15" t="s">
        <v>771</v>
      </c>
      <c r="C497" s="15">
        <v>18420909</v>
      </c>
      <c r="D497" s="15">
        <v>20261231</v>
      </c>
      <c r="E497" s="15" t="s">
        <v>2408</v>
      </c>
      <c r="F497" s="27" t="s">
        <v>684</v>
      </c>
      <c r="G497" s="27" t="s">
        <v>184</v>
      </c>
      <c r="H497" s="15" t="s">
        <v>609</v>
      </c>
      <c r="I497" s="15" t="s">
        <v>613</v>
      </c>
      <c r="J497" s="27" t="str">
        <f>IF( F497 = "Sovereign", "x", "" )</f>
        <v/>
      </c>
      <c r="K497" s="15">
        <f>( $C497&lt;=$Q$1 )*( $D497 &gt; $Q$1 ) * 1</f>
        <v>1</v>
      </c>
      <c r="L497" s="19"/>
      <c r="M497" s="15" t="s">
        <v>771</v>
      </c>
      <c r="N497" s="15" t="s">
        <v>881</v>
      </c>
      <c r="O497" s="19">
        <v>496</v>
      </c>
    </row>
    <row r="498" spans="1:22" x14ac:dyDescent="0.2">
      <c r="A498" s="29" t="s">
        <v>693</v>
      </c>
      <c r="B498" s="15" t="s">
        <v>80</v>
      </c>
      <c r="C498" s="15">
        <v>19790712</v>
      </c>
      <c r="D498" s="15">
        <v>20261231</v>
      </c>
      <c r="F498" s="27" t="s">
        <v>683</v>
      </c>
      <c r="H498" s="28" t="s">
        <v>609</v>
      </c>
      <c r="I498" s="15" t="s">
        <v>692</v>
      </c>
      <c r="J498" s="27" t="str">
        <f>IF( F498 = "Sovereign", "x", "" )</f>
        <v>x</v>
      </c>
      <c r="K498" s="15">
        <f>( $C498&lt;=$Q$1 )*( $D498 &gt; $Q$1 ) * 1</f>
        <v>1</v>
      </c>
      <c r="L498" s="19"/>
      <c r="M498" s="15" t="s">
        <v>694</v>
      </c>
      <c r="N498" s="15" t="s">
        <v>294</v>
      </c>
      <c r="O498" s="19">
        <v>497</v>
      </c>
    </row>
    <row r="499" spans="1:22" x14ac:dyDescent="0.2">
      <c r="A499" s="29" t="s">
        <v>883</v>
      </c>
      <c r="B499" s="15" t="s">
        <v>772</v>
      </c>
      <c r="C499" s="15">
        <v>18530924</v>
      </c>
      <c r="D499" s="15">
        <v>20261231</v>
      </c>
      <c r="E499" s="15" t="s">
        <v>2408</v>
      </c>
      <c r="F499" s="27" t="s">
        <v>684</v>
      </c>
      <c r="G499" s="27" t="s">
        <v>184</v>
      </c>
      <c r="H499" s="15" t="s">
        <v>609</v>
      </c>
      <c r="I499" s="15" t="s">
        <v>613</v>
      </c>
      <c r="J499" s="27" t="str">
        <f>IF( F499 = "Sovereign", "x", "" )</f>
        <v/>
      </c>
      <c r="K499" s="15">
        <f>( $C499&lt;=$Q$1 )*( $D499 &gt; $Q$1 ) * 1</f>
        <v>1</v>
      </c>
      <c r="L499" s="19"/>
      <c r="M499" s="15" t="s">
        <v>772</v>
      </c>
      <c r="N499" s="15" t="s">
        <v>882</v>
      </c>
      <c r="O499" s="19">
        <v>498</v>
      </c>
    </row>
    <row r="500" spans="1:22" x14ac:dyDescent="0.2">
      <c r="A500" s="29" t="s">
        <v>692</v>
      </c>
      <c r="B500" s="15" t="s">
        <v>691</v>
      </c>
      <c r="C500" s="15">
        <v>19760101</v>
      </c>
      <c r="D500" s="15">
        <v>19790712</v>
      </c>
      <c r="E500" s="15" t="s">
        <v>2404</v>
      </c>
      <c r="F500" s="27" t="s">
        <v>684</v>
      </c>
      <c r="G500" s="27" t="s">
        <v>173</v>
      </c>
      <c r="H500" s="28" t="s">
        <v>609</v>
      </c>
      <c r="I500" s="15" t="s">
        <v>689</v>
      </c>
      <c r="J500" s="27" t="str">
        <f>IF( F500 = "Sovereign", "x", "" )</f>
        <v/>
      </c>
      <c r="K500" s="15">
        <f>( $C500&lt;=$Q$1 )*( $D500 &gt; $Q$1 ) * 1</f>
        <v>0</v>
      </c>
      <c r="L500" s="19"/>
      <c r="M500" s="15" t="s">
        <v>690</v>
      </c>
      <c r="N500" s="15" t="s">
        <v>295</v>
      </c>
      <c r="O500" s="19">
        <v>499</v>
      </c>
    </row>
    <row r="501" spans="1:22" x14ac:dyDescent="0.2">
      <c r="A501" s="29" t="s">
        <v>892</v>
      </c>
      <c r="B501" s="15" t="s">
        <v>779</v>
      </c>
      <c r="C501" s="15">
        <v>19010611</v>
      </c>
      <c r="D501" s="15">
        <v>20261231</v>
      </c>
      <c r="F501" s="27" t="s">
        <v>684</v>
      </c>
      <c r="G501" s="27" t="s">
        <v>113</v>
      </c>
      <c r="H501" s="15" t="s">
        <v>609</v>
      </c>
      <c r="I501" s="15" t="s">
        <v>613</v>
      </c>
      <c r="J501" s="27" t="str">
        <f>IF( F501 = "Sovereign", "x", "" )</f>
        <v/>
      </c>
      <c r="K501" s="15">
        <f>( $C501&lt;=$Q$1 )*( $D501 &gt; $Q$1 ) * 1</f>
        <v>1</v>
      </c>
      <c r="L501" s="19"/>
      <c r="M501" s="15" t="s">
        <v>779</v>
      </c>
      <c r="N501" s="15" t="s">
        <v>891</v>
      </c>
      <c r="O501" s="19">
        <v>500</v>
      </c>
    </row>
    <row r="502" spans="1:22" x14ac:dyDescent="0.2">
      <c r="A502" s="29" t="s">
        <v>689</v>
      </c>
      <c r="B502" s="15" t="s">
        <v>688</v>
      </c>
      <c r="C502" s="15">
        <v>18920101</v>
      </c>
      <c r="D502" s="15">
        <v>19760101</v>
      </c>
      <c r="E502" s="15" t="s">
        <v>2404</v>
      </c>
      <c r="F502" s="27" t="s">
        <v>684</v>
      </c>
      <c r="G502" s="27" t="s">
        <v>173</v>
      </c>
      <c r="H502" s="28" t="s">
        <v>609</v>
      </c>
      <c r="I502" s="15" t="s">
        <v>613</v>
      </c>
      <c r="J502" s="27" t="str">
        <f>IF( F502 = "Sovereign", "x", "" )</f>
        <v/>
      </c>
      <c r="K502" s="15">
        <f>( $C502&lt;=$Q$1 )*( $D502 &gt; $Q$1 ) * 1</f>
        <v>0</v>
      </c>
      <c r="L502" s="19"/>
      <c r="M502" s="15" t="s">
        <v>627</v>
      </c>
      <c r="N502" s="15" t="s">
        <v>626</v>
      </c>
      <c r="O502" s="19">
        <v>501</v>
      </c>
    </row>
    <row r="503" spans="1:22" x14ac:dyDescent="0.2">
      <c r="A503" s="29" t="s">
        <v>712</v>
      </c>
      <c r="B503" s="15" t="s">
        <v>99</v>
      </c>
      <c r="C503" s="15">
        <v>19861021</v>
      </c>
      <c r="D503" s="15">
        <v>20261231</v>
      </c>
      <c r="F503" s="27" t="s">
        <v>683</v>
      </c>
      <c r="H503" s="28" t="s">
        <v>609</v>
      </c>
      <c r="I503" s="15" t="s">
        <v>699</v>
      </c>
      <c r="J503" s="27" t="str">
        <f>IF( F503 = "Sovereign", "x", "" )</f>
        <v>x</v>
      </c>
      <c r="K503" s="15">
        <f>( $C503&lt;=$Q$1 )*( $D503 &gt; $Q$1 ) * 1</f>
        <v>1</v>
      </c>
      <c r="L503" s="19"/>
      <c r="M503" s="15" t="s">
        <v>697</v>
      </c>
      <c r="N503" s="15" t="s">
        <v>313</v>
      </c>
      <c r="O503" s="19">
        <v>502</v>
      </c>
    </row>
    <row r="504" spans="1:22" x14ac:dyDescent="0.2">
      <c r="A504" s="29" t="s">
        <v>699</v>
      </c>
      <c r="B504" s="15" t="s">
        <v>622</v>
      </c>
      <c r="C504" s="15">
        <v>19470718</v>
      </c>
      <c r="D504" s="15">
        <v>19941001</v>
      </c>
      <c r="E504" s="15" t="s">
        <v>2403</v>
      </c>
      <c r="F504" s="27" t="s">
        <v>684</v>
      </c>
      <c r="G504" s="27" t="s">
        <v>698</v>
      </c>
      <c r="H504" s="28" t="s">
        <v>609</v>
      </c>
      <c r="I504" s="15" t="s">
        <v>708</v>
      </c>
      <c r="J504" s="27" t="str">
        <f>IF( F504 = "Sovereign", "x", "" )</f>
        <v/>
      </c>
      <c r="K504" s="15">
        <f>( $C504&lt;=$Q$1 )*( $D504 &gt; $Q$1 ) * 1</f>
        <v>0</v>
      </c>
      <c r="L504" s="19"/>
      <c r="M504" s="15" t="s">
        <v>622</v>
      </c>
      <c r="N504" s="15" t="s">
        <v>623</v>
      </c>
      <c r="O504" s="19">
        <v>503</v>
      </c>
    </row>
    <row r="505" spans="1:22" x14ac:dyDescent="0.2">
      <c r="A505" s="29" t="s">
        <v>2328</v>
      </c>
      <c r="B505" s="15" t="s">
        <v>620</v>
      </c>
      <c r="C505" s="15">
        <v>19140929</v>
      </c>
      <c r="D505" s="15">
        <v>19470718</v>
      </c>
      <c r="E505" s="15" t="s">
        <v>2414</v>
      </c>
      <c r="F505" s="27" t="s">
        <v>684</v>
      </c>
      <c r="G505" s="27" t="s">
        <v>76</v>
      </c>
      <c r="H505" s="28" t="s">
        <v>609</v>
      </c>
      <c r="I505" s="15" t="s">
        <v>716</v>
      </c>
      <c r="J505" s="27" t="str">
        <f>IF( F505 = "Sovereign", "x", "" )</f>
        <v/>
      </c>
      <c r="K505" s="15">
        <f>( $C505&lt;=$Q$1 )*( $D505 &gt; $Q$1 ) * 1</f>
        <v>0</v>
      </c>
      <c r="L505" s="19"/>
      <c r="M505" s="15" t="s">
        <v>707</v>
      </c>
      <c r="N505" s="15" t="s">
        <v>621</v>
      </c>
      <c r="O505" s="19">
        <v>504</v>
      </c>
    </row>
    <row r="506" spans="1:22" x14ac:dyDescent="0.2">
      <c r="A506" s="29" t="s">
        <v>702</v>
      </c>
      <c r="B506" s="15" t="s">
        <v>700</v>
      </c>
      <c r="C506" s="15">
        <v>19780109</v>
      </c>
      <c r="D506" s="15">
        <v>20261231</v>
      </c>
      <c r="E506" s="15" t="s">
        <v>2403</v>
      </c>
      <c r="F506" s="27" t="s">
        <v>684</v>
      </c>
      <c r="G506" s="27" t="s">
        <v>698</v>
      </c>
      <c r="H506" s="28" t="s">
        <v>609</v>
      </c>
      <c r="I506" s="15" t="s">
        <v>699</v>
      </c>
      <c r="J506" s="27" t="str">
        <f>IF( F506 = "Sovereign", "x", "" )</f>
        <v/>
      </c>
      <c r="K506" s="15">
        <f>( $C506&lt;=$Q$1 )*( $D506 &gt; $Q$1 ) * 1</f>
        <v>1</v>
      </c>
      <c r="L506" s="19"/>
      <c r="M506" s="15" t="s">
        <v>701</v>
      </c>
      <c r="N506" s="15" t="s">
        <v>623</v>
      </c>
      <c r="O506" s="19">
        <v>505</v>
      </c>
    </row>
    <row r="507" spans="1:22" x14ac:dyDescent="0.2">
      <c r="A507" s="29" t="s">
        <v>703</v>
      </c>
      <c r="B507" s="15" t="s">
        <v>704</v>
      </c>
      <c r="C507" s="15">
        <v>18981210</v>
      </c>
      <c r="D507" s="15">
        <v>20261231</v>
      </c>
      <c r="E507" s="15" t="s">
        <v>2403</v>
      </c>
      <c r="F507" s="27" t="s">
        <v>684</v>
      </c>
      <c r="G507" s="27" t="s">
        <v>698</v>
      </c>
      <c r="H507" s="28" t="s">
        <v>609</v>
      </c>
      <c r="I507" s="15" t="s">
        <v>1780</v>
      </c>
      <c r="J507" s="27" t="str">
        <f>IF( F507 = "Sovereign", "x", "" )</f>
        <v/>
      </c>
      <c r="K507" s="15">
        <f>( $C507&lt;=$Q$1 )*( $D507 &gt; $Q$1 ) * 1</f>
        <v>1</v>
      </c>
      <c r="L507" s="19"/>
      <c r="M507" s="15" t="s">
        <v>704</v>
      </c>
      <c r="N507" s="15" t="s">
        <v>705</v>
      </c>
      <c r="O507" s="19">
        <v>506</v>
      </c>
    </row>
    <row r="508" spans="1:22" x14ac:dyDescent="0.2">
      <c r="A508" s="29" t="s">
        <v>713</v>
      </c>
      <c r="B508" s="15" t="s">
        <v>711</v>
      </c>
      <c r="C508" s="15">
        <v>19861103</v>
      </c>
      <c r="D508" s="15">
        <v>20261231</v>
      </c>
      <c r="F508" s="27" t="s">
        <v>683</v>
      </c>
      <c r="H508" s="28" t="s">
        <v>609</v>
      </c>
      <c r="I508" s="15" t="s">
        <v>699</v>
      </c>
      <c r="J508" s="27" t="str">
        <f>IF( F508 = "Sovereign", "x", "" )</f>
        <v>x</v>
      </c>
      <c r="K508" s="15">
        <f>( $C508&lt;=$Q$1 )*( $D508 &gt; $Q$1 ) * 1</f>
        <v>1</v>
      </c>
      <c r="L508" s="19"/>
      <c r="M508" s="15" t="s">
        <v>268</v>
      </c>
      <c r="N508" s="15" t="s">
        <v>283</v>
      </c>
      <c r="O508" s="19">
        <v>507</v>
      </c>
      <c r="S508" s="15" t="s">
        <v>2397</v>
      </c>
    </row>
    <row r="509" spans="1:22" x14ac:dyDescent="0.2">
      <c r="A509" s="34" t="s">
        <v>709</v>
      </c>
      <c r="B509" s="15" t="s">
        <v>121</v>
      </c>
      <c r="C509" s="15">
        <v>19941001</v>
      </c>
      <c r="D509" s="15">
        <v>20261231</v>
      </c>
      <c r="F509" s="27" t="s">
        <v>683</v>
      </c>
      <c r="H509" s="28" t="s">
        <v>609</v>
      </c>
      <c r="I509" s="15" t="s">
        <v>699</v>
      </c>
      <c r="J509" s="27" t="str">
        <f>IF( F509 = "Sovereign", "x", "" )</f>
        <v>x</v>
      </c>
      <c r="K509" s="15">
        <f>( $C509&lt;=$Q$1 )*( $D509 &gt; $Q$1 ) * 1</f>
        <v>1</v>
      </c>
      <c r="L509" s="19"/>
      <c r="M509" s="15" t="s">
        <v>710</v>
      </c>
      <c r="N509" s="15" t="s">
        <v>621</v>
      </c>
      <c r="O509" s="19">
        <v>508</v>
      </c>
      <c r="S509" s="37">
        <v>20260101</v>
      </c>
    </row>
    <row r="510" spans="1:22" x14ac:dyDescent="0.2">
      <c r="A510" s="29" t="s">
        <v>1780</v>
      </c>
      <c r="B510" s="15" t="s">
        <v>706</v>
      </c>
      <c r="C510" s="15">
        <v>15710101</v>
      </c>
      <c r="D510" s="15">
        <v>18981210</v>
      </c>
      <c r="E510" s="15" t="s">
        <v>2412</v>
      </c>
      <c r="F510" s="27" t="s">
        <v>684</v>
      </c>
      <c r="G510" s="27" t="s">
        <v>152</v>
      </c>
      <c r="H510" s="28" t="s">
        <v>605</v>
      </c>
      <c r="I510" s="15" t="s">
        <v>613</v>
      </c>
      <c r="J510" s="27" t="str">
        <f>IF( F510 = "Sovereign", "x", "" )</f>
        <v/>
      </c>
      <c r="K510" s="15">
        <f>( $C510&lt;=$Q$1 )*( $D510 &gt; $Q$1 ) * 1</f>
        <v>0</v>
      </c>
      <c r="L510" s="19"/>
      <c r="M510" s="15" t="s">
        <v>706</v>
      </c>
      <c r="N510" s="15" t="s">
        <v>341</v>
      </c>
      <c r="O510" s="19">
        <v>509</v>
      </c>
    </row>
    <row r="511" spans="1:22" x14ac:dyDescent="0.2">
      <c r="A511" s="15" t="s">
        <v>2394</v>
      </c>
      <c r="C511" s="15"/>
      <c r="F511" s="27"/>
      <c r="H511" s="15"/>
      <c r="J511" s="27"/>
      <c r="K511" s="15"/>
      <c r="L511" s="19"/>
      <c r="M511" s="19"/>
      <c r="O511" s="19"/>
      <c r="R511" s="15" t="s">
        <v>2395</v>
      </c>
      <c r="S511" s="15" t="s">
        <v>683</v>
      </c>
      <c r="T511" s="15" t="s">
        <v>2396</v>
      </c>
    </row>
    <row r="512" spans="1:22" x14ac:dyDescent="0.2">
      <c r="S512" s="36" t="s">
        <v>608</v>
      </c>
      <c r="T512" s="15">
        <f>COUNTIF(H$2:H$510,S512)</f>
        <v>162</v>
      </c>
      <c r="U512" s="15">
        <f>COUNTIFS(H$2:H$510, S512,F$2:F$510, "Sovereign")</f>
        <v>65</v>
      </c>
      <c r="V512" s="15">
        <f>COUNTIFS(H$2:H$510, S512,F$2:F$510, "Sovereign", K$2:K$510, 1 )</f>
        <v>55</v>
      </c>
    </row>
    <row r="513" spans="19:22" x14ac:dyDescent="0.2">
      <c r="S513" s="36" t="s">
        <v>605</v>
      </c>
      <c r="T513" s="15">
        <f>COUNTIF(H$2:H$510,S513)</f>
        <v>106</v>
      </c>
      <c r="U513" s="15">
        <f>COUNTIFS(H$2:H$510, S513,F$2:F$510, "Sovereign")</f>
        <v>69</v>
      </c>
      <c r="V513" s="15">
        <f>COUNTIFS(H$2:H$510, S513,F$2:F$510, "Sovereign", K$2:K$510, 1 )</f>
        <v>48</v>
      </c>
    </row>
    <row r="514" spans="19:22" x14ac:dyDescent="0.2">
      <c r="S514" s="36" t="s">
        <v>606</v>
      </c>
      <c r="T514" s="15">
        <f>COUNTIF(H$2:H$510,S514)</f>
        <v>101</v>
      </c>
      <c r="U514" s="15">
        <f>COUNTIFS(H$2:H$510, S514,F$2:F$510, "Sovereign")</f>
        <v>84</v>
      </c>
      <c r="V514" s="15">
        <f>COUNTIFS(H$2:H$510, S514,F$2:F$510, "Sovereign", K$2:K$510, 1 )</f>
        <v>45</v>
      </c>
    </row>
    <row r="515" spans="19:22" x14ac:dyDescent="0.2">
      <c r="S515" s="36" t="s">
        <v>607</v>
      </c>
      <c r="T515" s="15">
        <f>COUNTIF(H$2:H$510,S515)</f>
        <v>76</v>
      </c>
      <c r="U515" s="15">
        <f>COUNTIFS(H$2:H$510, S515,F$2:F$510, "Sovereign")</f>
        <v>25</v>
      </c>
      <c r="V515" s="15">
        <f>COUNTIFS(H$2:H$510, S515,F$2:F$510, "Sovereign", K$2:K$510, 1 )</f>
        <v>23</v>
      </c>
    </row>
    <row r="516" spans="19:22" x14ac:dyDescent="0.2">
      <c r="S516" s="36" t="s">
        <v>609</v>
      </c>
      <c r="T516" s="15">
        <f>COUNTIF(H$2:H$510,S516)</f>
        <v>39</v>
      </c>
      <c r="U516" s="15">
        <f>COUNTIFS(H$2:H$510, S516,F$2:F$510, "Sovereign")</f>
        <v>14</v>
      </c>
      <c r="V516" s="15">
        <f>COUNTIFS(H$2:H$510, S516,F$2:F$510, "Sovereign", K$2:K$510, 1 )</f>
        <v>14</v>
      </c>
    </row>
    <row r="517" spans="19:22" x14ac:dyDescent="0.2">
      <c r="S517" s="36" t="s">
        <v>610</v>
      </c>
      <c r="T517" s="15">
        <f>COUNTIF(H$2:H$510,S517)</f>
        <v>25</v>
      </c>
      <c r="U517" s="15">
        <f>COUNTIFS(H$2:H$510, S517,F$2:F$510, "Sovereign")</f>
        <v>14</v>
      </c>
      <c r="V517" s="15">
        <f>COUNTIFS(H$2:H$510, S517,F$2:F$510, "Sovereign", K$2:K$510, 1 )</f>
        <v>12</v>
      </c>
    </row>
    <row r="518" spans="19:22" x14ac:dyDescent="0.2">
      <c r="T518" s="15">
        <f>SUM(T512:T517)</f>
        <v>509</v>
      </c>
      <c r="U518" s="15">
        <f>SUM(U512:U517)</f>
        <v>271</v>
      </c>
      <c r="V518" s="15">
        <f>SUM(V512:V517)</f>
        <v>197</v>
      </c>
    </row>
  </sheetData>
  <conditionalFormatting sqref="A2:K510">
    <cfRule type="expression" dxfId="14" priority="1" stopIfTrue="1">
      <formula>($L2="x")</formula>
    </cfRule>
  </conditionalFormatting>
  <conditionalFormatting sqref="C83:C84">
    <cfRule type="expression" dxfId="13" priority="4">
      <formula>_xlfn.ISFORMULA(C83)</formula>
    </cfRule>
    <cfRule type="expression" dxfId="12" priority="5" stopIfTrue="1">
      <formula>($H83="x")</formula>
    </cfRule>
  </conditionalFormatting>
  <conditionalFormatting sqref="D85:E85">
    <cfRule type="expression" dxfId="11" priority="2">
      <formula>_xlfn.ISFORMULA(D85)</formula>
    </cfRule>
    <cfRule type="expression" dxfId="10" priority="3" stopIfTrue="1">
      <formula>($H85="x")</formula>
    </cfRule>
  </conditionalFormatting>
  <hyperlinks>
    <hyperlink ref="A3" r:id="rId1" xr:uid="{6A46AB4F-AAF5-A04A-85B9-7D9F85DC3FB0}"/>
    <hyperlink ref="A2" r:id="rId2" xr:uid="{E31F687B-389C-C245-AA5C-8024D8AD8507}"/>
    <hyperlink ref="A13" r:id="rId3" xr:uid="{884861E8-00B4-D148-8191-E57CB1050D1F}"/>
    <hyperlink ref="A8" r:id="rId4" xr:uid="{EDF5541E-D0B0-6346-A7C1-8B1526E81AD8}"/>
    <hyperlink ref="A9" r:id="rId5" xr:uid="{7C43F0D7-D6FB-8A40-B642-80667F7E5C86}"/>
    <hyperlink ref="A6" r:id="rId6" xr:uid="{F3F4C587-4477-B84D-88A3-73BB40CD9542}"/>
    <hyperlink ref="A10" r:id="rId7" xr:uid="{FA1BA339-D94F-AA41-979B-E47E44C89392}"/>
    <hyperlink ref="A12" r:id="rId8" xr:uid="{AA6096FB-3F1E-3742-AB81-ACC096A91023}"/>
    <hyperlink ref="A11" r:id="rId9" display="ERI_1962_ETH" xr:uid="{0FC0DA87-77F7-CF4B-913E-25F5D05C4116}"/>
    <hyperlink ref="A7" r:id="rId10" xr:uid="{1EDBD22A-28F0-5149-A786-6A0F96CAED36}"/>
    <hyperlink ref="A5" r:id="rId11" xr:uid="{8F514D19-CC6D-C844-921C-B73FEED383E9}"/>
    <hyperlink ref="A4" r:id="rId12" xr:uid="{35F3782B-CD48-F042-976F-94D991E48742}"/>
    <hyperlink ref="A14" r:id="rId13" xr:uid="{51F1E45B-F4A6-6B45-8064-896D2ED5AB87}"/>
    <hyperlink ref="A16" r:id="rId14" xr:uid="{F9C2FCED-FCB6-D449-A486-C939FE27E98E}"/>
    <hyperlink ref="A15" r:id="rId15" xr:uid="{C56EDA4C-FD46-8248-9F4A-ED00ABBE03E9}"/>
    <hyperlink ref="A17" r:id="rId16" location="Road_to_independence" xr:uid="{81F5D811-20C1-2A4C-B04F-AA1A53B15322}"/>
    <hyperlink ref="A18" r:id="rId17" xr:uid="{2FE3357B-6799-EB46-A538-437AB82A43A0}"/>
    <hyperlink ref="A20" r:id="rId18" xr:uid="{14CB254A-602D-F240-8598-A01B3BC0F80D}"/>
    <hyperlink ref="A19" r:id="rId19" xr:uid="{E14C8B7B-ED39-034C-AB40-8ED2BA9DF329}"/>
    <hyperlink ref="A21" r:id="rId20" xr:uid="{96935E22-8023-AC42-9D6B-4273874753AD}"/>
    <hyperlink ref="A23" r:id="rId21" display="CAR_1958" xr:uid="{BC3E41B2-93C6-D948-8E20-3B26C2F5D103}"/>
    <hyperlink ref="A26" r:id="rId22" xr:uid="{FA014CB5-9F13-3640-902D-9DADBF67F930}"/>
    <hyperlink ref="A25" r:id="rId23" xr:uid="{3C4EA1E0-803A-7342-8E2F-73C9D0704081}"/>
    <hyperlink ref="A24" r:id="rId24" xr:uid="{18C69FE8-510C-1F44-9B71-94D203E824D2}"/>
    <hyperlink ref="A27" r:id="rId25" display="CHD_1900" xr:uid="{8AA9C56E-B2BE-8E4E-8388-A1D2173D2770}"/>
    <hyperlink ref="A28" r:id="rId26" xr:uid="{88FD01D8-E46C-9C47-B21F-3CCDDEBF274E}"/>
    <hyperlink ref="A29" r:id="rId27" xr:uid="{5174DBD0-7E73-A648-B810-AE9CCB7B1198}"/>
    <hyperlink ref="A30" r:id="rId28" xr:uid="{FF1F88B5-2F73-A143-836E-CB41963CB7F0}"/>
    <hyperlink ref="A31" r:id="rId29" xr:uid="{410F9A76-9DFA-9641-A0AD-C97AB94E0976}"/>
    <hyperlink ref="A32" r:id="rId30" xr:uid="{67488FA3-497B-F042-BEAE-5B71BF894757}"/>
    <hyperlink ref="A34" r:id="rId31" xr:uid="{7DF7AFD8-59A3-1F4F-9C89-15979BAA112E}"/>
    <hyperlink ref="A33" r:id="rId32" xr:uid="{51D035D8-D137-634F-8028-CC209C5D4C77}"/>
    <hyperlink ref="A35" r:id="rId33" xr:uid="{A90FF4A8-B38F-3A4A-9756-840302A55735}"/>
    <hyperlink ref="A37" r:id="rId34" xr:uid="{52034A96-72E1-C641-87B9-737040F9C554}"/>
    <hyperlink ref="A36" r:id="rId35" xr:uid="{FA42DB2B-5DC4-2242-BAE4-3FF1FBF4B430}"/>
    <hyperlink ref="A38" r:id="rId36" xr:uid="{08B7DABD-38CD-E74A-9CEF-73DC9FBAFEC6}"/>
    <hyperlink ref="A40" r:id="rId37" xr:uid="{07715234-F4D3-3D41-B133-FEFCF22A0490}"/>
    <hyperlink ref="A41" r:id="rId38" xr:uid="{162450C0-7696-6344-B3AC-13ED990E42D7}"/>
    <hyperlink ref="A42" r:id="rId39" xr:uid="{9D7933DE-ABCA-644B-8503-1CBE3EA00FA5}"/>
    <hyperlink ref="A44" r:id="rId40" display="IVC_1983" xr:uid="{02E5DF29-591D-1344-8BCD-C9507117EA99}"/>
    <hyperlink ref="A43" r:id="rId41" xr:uid="{A406CD43-4231-B745-83CA-43AA2ED09CBB}"/>
    <hyperlink ref="A45" r:id="rId42" location="French_colonial_era" xr:uid="{5B7AFCF2-1173-B04D-B643-DD3CC72AF41A}"/>
    <hyperlink ref="A46" r:id="rId43" xr:uid="{444BB0E1-81F9-D14C-B642-026DCF12FE13}"/>
    <hyperlink ref="A47" r:id="rId44" display="GHA_1960" xr:uid="{0BCA49F0-7EE1-9246-9227-96D1BD8E4BF7}"/>
    <hyperlink ref="A48" r:id="rId45" xr:uid="{B88CDDFC-609C-9140-985B-FF72D92175C3}"/>
    <hyperlink ref="A49" r:id="rId46" display="TOG_1958_FRA" xr:uid="{A72CC821-0336-C147-9F32-1FA3019ADA5F}"/>
    <hyperlink ref="A51" r:id="rId47" xr:uid="{D941C34A-DCB8-C846-907B-9AF5F949A268}"/>
    <hyperlink ref="A52" r:id="rId48" xr:uid="{F7616FA5-E026-2B47-A2FD-C97B0AF593D4}"/>
    <hyperlink ref="A54" r:id="rId49" xr:uid="{0C8F734E-5C8F-3642-BF88-0049311BF261}"/>
    <hyperlink ref="A55" r:id="rId50" xr:uid="{C4CF5DED-4D04-5846-981D-7071C074FA69}"/>
    <hyperlink ref="A56" r:id="rId51" xr:uid="{4578502D-CFCF-EB4B-B58A-2B8789946F5E}"/>
    <hyperlink ref="A57" r:id="rId52" xr:uid="{257FECE1-8C58-B347-8860-9589CC22B2EC}"/>
    <hyperlink ref="A58" r:id="rId53" xr:uid="{BC125468-FEE0-D748-9E1D-E33719560F2B}"/>
    <hyperlink ref="A59" r:id="rId54" xr:uid="{5CAFA060-98BA-B849-A7BD-3885DA0D3E43}"/>
    <hyperlink ref="A60" r:id="rId55" xr:uid="{15946520-4F9F-9A4A-B714-8176CDE2D1CE}"/>
    <hyperlink ref="A61" r:id="rId56" xr:uid="{5163F05E-A0CC-CD44-A109-E7A69D9479CF}"/>
    <hyperlink ref="A62" r:id="rId57" xr:uid="{5875A945-ED10-C64B-A3F3-4C2B548B8B8B}"/>
    <hyperlink ref="A63" r:id="rId58" xr:uid="{84655AAA-CD88-C84E-924A-B64B94CDBA9D}"/>
    <hyperlink ref="A64" r:id="rId59" xr:uid="{A419613B-92B1-1D4C-BF0A-EC38C45F9AB2}"/>
    <hyperlink ref="A66" r:id="rId60" xr:uid="{22D22703-03BC-4F47-B3BE-9E7CBA60A36E}"/>
    <hyperlink ref="A67" r:id="rId61" xr:uid="{4F0977DE-4DDF-F846-B8B8-91A012D8EE46}"/>
    <hyperlink ref="A65" r:id="rId62" xr:uid="{C84F861F-5B23-1741-8884-DB75F6238F04}"/>
    <hyperlink ref="A68" r:id="rId63" xr:uid="{EBAE674A-3F37-6849-8D41-F8DA286A6E54}"/>
    <hyperlink ref="A69" r:id="rId64" xr:uid="{C335C15F-CB91-4348-A92A-C8942417EBE6}"/>
    <hyperlink ref="A71" r:id="rId65" display="EQG_1778_SPA" xr:uid="{BB267FFA-961B-DC4C-973B-655D197D3B2F}"/>
    <hyperlink ref="A70" r:id="rId66" display="EQG_1968" xr:uid="{F3171A79-3D4A-054D-BDF6-68FFC6FA4D24}"/>
    <hyperlink ref="A72" r:id="rId67" display="STP_1960" xr:uid="{94714D0F-BAE7-9045-9018-E0220105600D}"/>
    <hyperlink ref="A73" r:id="rId68" xr:uid="{D60037C6-9FB1-3847-BB2E-9115EB0849BC}"/>
    <hyperlink ref="A74" r:id="rId69" xr:uid="{770E2241-E894-4948-B525-A2C9B0D4EE81}"/>
    <hyperlink ref="A75" r:id="rId70" xr:uid="{21002E63-DFDB-4846-9B54-856896A2EC83}"/>
    <hyperlink ref="A76" r:id="rId71" xr:uid="{DB5F28F1-C3D8-4248-BA85-791DF2484E3F}"/>
    <hyperlink ref="A77" r:id="rId72" xr:uid="{3A4143CA-05AF-C744-8BD3-0A0F36A01B1F}"/>
    <hyperlink ref="A78" r:id="rId73" display="ANG_1885_POR" xr:uid="{EE45B256-E650-C147-8E4C-4C6401C2F1CE}"/>
    <hyperlink ref="A79" r:id="rId74" xr:uid="{33EC5D7A-1FEF-0F4C-9BE3-23BF979D1673}"/>
    <hyperlink ref="A82" r:id="rId75" xr:uid="{139BEB90-6631-C344-8D63-44AC2354324F}"/>
    <hyperlink ref="A84" r:id="rId76" display="CAM_1919_FRA" xr:uid="{4F30192C-0C4A-0B40-9B16-724314F5E1A0}"/>
    <hyperlink ref="A85" r:id="rId77" xr:uid="{CBEF3643-0E76-C042-BEF6-93E01D375232}"/>
    <hyperlink ref="A83" r:id="rId78" display="CAM_1919_UK" xr:uid="{2F1D6647-11A3-D34D-9847-90053919B1D1}"/>
    <hyperlink ref="A86" r:id="rId79" xr:uid="{7FAB82B0-9549-9441-A725-612EE0E6F41F}"/>
    <hyperlink ref="A88" r:id="rId80" xr:uid="{106A023A-1728-EC40-9403-4F19F3A6D07D}"/>
    <hyperlink ref="A87" r:id="rId81" xr:uid="{E1AA730F-ADC9-074F-AC67-049D8E411AAC}"/>
    <hyperlink ref="A89" r:id="rId82" xr:uid="{CCF7DD85-F609-AC4E-8944-E89B9B2004AC}"/>
    <hyperlink ref="A97" r:id="rId83" xr:uid="{A05CA96D-E6B4-F840-AE49-F08172A11C83}"/>
    <hyperlink ref="A96" r:id="rId84" display="LES_1885_UK" xr:uid="{EBF18CF1-B52D-BC49-9B31-91338FBB5EE3}"/>
    <hyperlink ref="A94" r:id="rId85" xr:uid="{AD3CFB0B-44F6-A847-910D-C88C4FA69D12}"/>
    <hyperlink ref="A92" r:id="rId86" xr:uid="{CDCABF49-6D75-7145-B3AE-5DAB0EDE39C7}"/>
    <hyperlink ref="A95" r:id="rId87" xr:uid="{396E9012-3956-9E4B-8F55-010EE44848AF}"/>
    <hyperlink ref="A90" r:id="rId88" xr:uid="{702861D9-8FCF-0243-90D2-DDE14C360CA2}"/>
    <hyperlink ref="A91" r:id="rId89" xr:uid="{775EDE7E-AD41-0449-A234-42AAFAD9821A}"/>
    <hyperlink ref="A98" r:id="rId90" xr:uid="{7755235D-232B-2040-998D-D1D43895F368}"/>
    <hyperlink ref="A99" r:id="rId91" xr:uid="{985BFB51-AA8A-0D40-8745-C482DC2B0D76}"/>
    <hyperlink ref="A100" r:id="rId92" xr:uid="{50660696-3EE6-584A-AD46-A8CC56C9AF12}"/>
    <hyperlink ref="A102" r:id="rId93" xr:uid="{2B01B9A6-6FA0-DB45-9CEC-22BEE8488882}"/>
    <hyperlink ref="A101" r:id="rId94" display="ZAM_1963" xr:uid="{AE6FA03F-D72A-EA47-91D6-6B185D3340A2}"/>
    <hyperlink ref="A103" r:id="rId95" xr:uid="{BA5BA692-6111-D14A-AF66-33A710B0AAA7}"/>
    <hyperlink ref="A104" r:id="rId96" display="ZIM_1965" xr:uid="{D0F49FC9-876C-EC4C-B763-743299BD92D1}"/>
    <hyperlink ref="A105" r:id="rId97" xr:uid="{34839EC1-9091-F646-A783-CFFE5E0EFB89}"/>
    <hyperlink ref="A106" r:id="rId98" xr:uid="{FFD48305-C30D-0444-8E66-A278FD8F186A}"/>
    <hyperlink ref="A107" r:id="rId99" xr:uid="{8BD3B129-E6C0-3848-86DA-8F89C7ACCA80}"/>
    <hyperlink ref="A108" r:id="rId100" xr:uid="{6ABD35AA-C48B-3C47-AF09-D05FF7163347}"/>
    <hyperlink ref="A109" r:id="rId101" xr:uid="{13D9AE9F-265C-1543-A635-D6DBB98B040F}"/>
    <hyperlink ref="A110" r:id="rId102" xr:uid="{E22E9373-F6C5-554D-9253-7F1352B58076}"/>
    <hyperlink ref="A114" r:id="rId103" display="TAN_1919_UK" xr:uid="{65AFBC1F-26B4-DB4C-A381-3A2E269AFC8D}"/>
    <hyperlink ref="I110" r:id="rId104" display="TAN_1919_UK" xr:uid="{717AF4D0-264F-4344-B290-A284AC65CE3F}"/>
    <hyperlink ref="I109" r:id="rId105" display="TAN_1961" xr:uid="{C46401B8-1E00-2E4C-8D8F-4DE060958AFF}"/>
    <hyperlink ref="A130" r:id="rId106" xr:uid="{0AA34B2C-52DE-FB48-9CA9-E6D21E3D24B7}"/>
    <hyperlink ref="A112" r:id="rId107" xr:uid="{2A60E52F-D245-C141-A950-3E43D4D0BFED}"/>
    <hyperlink ref="A111" r:id="rId108" xr:uid="{15157261-ECB6-A343-BF37-70CD8068FAEB}"/>
    <hyperlink ref="A113" r:id="rId109" xr:uid="{4326F91C-90C7-C14D-A343-8739B4904080}"/>
    <hyperlink ref="A115" r:id="rId110" xr:uid="{8E3167BF-69D4-2C46-BE6E-36A383F976A6}"/>
    <hyperlink ref="A116" r:id="rId111" xr:uid="{35A308AF-92AA-DC44-891F-9B406A7262D5}"/>
    <hyperlink ref="A117" r:id="rId112" xr:uid="{B043997C-CA47-B144-9979-4A937D5FC12A}"/>
    <hyperlink ref="A118" r:id="rId113" xr:uid="{FBFA5ECF-CDA9-D246-B402-D26B9EA6B858}"/>
    <hyperlink ref="A119" r:id="rId114" location="French_Comoros" xr:uid="{B35EA486-688A-194F-9F2C-ECF12566ED60}"/>
    <hyperlink ref="A120" r:id="rId115" xr:uid="{1829090C-36AB-0741-90CC-FE6A930DEBA0}"/>
    <hyperlink ref="A122" r:id="rId116" xr:uid="{D37C0A9A-E60D-C742-8307-9607F9EC274A}"/>
    <hyperlink ref="A121" r:id="rId117" xr:uid="{D53E0423-BB46-1548-BC93-95101C64DF0D}"/>
    <hyperlink ref="A125" r:id="rId118" display="MLW_1966" xr:uid="{379EBB79-0331-C548-84A8-7870815D33C3}"/>
    <hyperlink ref="A128" r:id="rId119" xr:uid="{33BF4E4F-2BAF-424B-8F56-FFCD78D30E8D}"/>
    <hyperlink ref="A129" r:id="rId120" display="BRN_1916_FRA" xr:uid="{A0FCBE6B-907E-AE4B-AC8E-AFC8215E8CE6}"/>
    <hyperlink ref="A131" r:id="rId121" xr:uid="{1E00281E-BCD9-4D47-9886-001FD11BE89C}"/>
    <hyperlink ref="A134" r:id="rId122" display="BEA_1895_UK" xr:uid="{8EF2B0D3-3996-AB4D-A908-DFF51A7CC9CC}"/>
    <hyperlink ref="A133" r:id="rId123" xr:uid="{BD11E911-E785-CA41-A8B0-8AEE4F13140D}"/>
    <hyperlink ref="A135" r:id="rId124" display="UGA_1963" xr:uid="{1F06D585-ED25-AF49-A57F-91C5726FE948}"/>
    <hyperlink ref="A136" r:id="rId125" xr:uid="{1835AAB7-0566-D848-B19C-89FC6EB9A55D}"/>
    <hyperlink ref="A137" r:id="rId126" xr:uid="{C142CFC9-340A-C846-A90A-47A5AA35A4AE}"/>
    <hyperlink ref="A139" r:id="rId127" xr:uid="{BA692911-5F04-CC40-87CB-A7580170DDC8}"/>
    <hyperlink ref="A140" r:id="rId128" display="UAR_1958" xr:uid="{728988F1-F355-3F49-B56E-D05DF96F66E6}"/>
    <hyperlink ref="A144" r:id="rId129" xr:uid="{DEB82E4F-4B76-EF45-A55A-47A26C724E0A}"/>
    <hyperlink ref="A143" r:id="rId130" xr:uid="{303EC5D6-85B3-424C-807D-74F456C7FFA8}"/>
    <hyperlink ref="A142" r:id="rId131" xr:uid="{1C139D7E-3C55-964C-BB41-B43BF78520CB}"/>
    <hyperlink ref="A141" r:id="rId132" xr:uid="{809C12EC-5D24-904D-801F-83EEF3C74EA4}"/>
    <hyperlink ref="A146" r:id="rId133" xr:uid="{CA36C464-7677-1946-A329-7C30396BF738}"/>
    <hyperlink ref="A151" r:id="rId134" xr:uid="{4B76E4CC-BD9B-9D4C-9B8C-D23D382F80EC}"/>
    <hyperlink ref="A149" r:id="rId135" display="LIB_1934_ITA" xr:uid="{FA915DE1-E436-A349-A90B-F31CA3B465AF}"/>
    <hyperlink ref="A150" r:id="rId136" xr:uid="{A40EFF6B-DF7F-AA4F-BA30-83AC647CC822}"/>
    <hyperlink ref="A147" r:id="rId137" display="LIB_1943_UK" xr:uid="{F1C015AD-5BE0-D24E-AB75-F36FAB8F24AA}"/>
    <hyperlink ref="A148" r:id="rId138" display="LIB_1943_FRA" xr:uid="{8D50A42F-C4BA-E84A-BA80-8719778C3736}"/>
    <hyperlink ref="A153" r:id="rId139" xr:uid="{DFA8525F-41CB-A74E-B2E5-F120E4EAD2D3}"/>
    <hyperlink ref="A154" r:id="rId140" xr:uid="{4BB86A74-685B-994D-B6CE-AF9ACB1A7D20}"/>
    <hyperlink ref="A156" r:id="rId141" xr:uid="{0FB89CF7-B6B1-7349-A04F-08911988776B}"/>
    <hyperlink ref="A157" r:id="rId142" xr:uid="{632490A9-21BB-1845-8DB7-6AFA07B9514B}"/>
    <hyperlink ref="A159" r:id="rId143" xr:uid="{34C7E743-B996-1B49-9BA5-C2ED09332741}"/>
    <hyperlink ref="A160" r:id="rId144" xr:uid="{5EC78509-337D-1046-8C69-885CB180DED9}"/>
    <hyperlink ref="A161" r:id="rId145" xr:uid="{C1B4898C-B50E-6444-946A-AC83487EF385}"/>
    <hyperlink ref="A189" r:id="rId146" xr:uid="{FAFE396B-5B6B-4D4B-9854-F616F642D9F9}"/>
    <hyperlink ref="A191" r:id="rId147" xr:uid="{A586083F-5CAC-0649-A246-F1503CE84615}"/>
    <hyperlink ref="A190" r:id="rId148" xr:uid="{0128159B-7726-654B-9FA8-38D910F15020}"/>
    <hyperlink ref="A192" r:id="rId149" display="STR_1826" xr:uid="{BB38CC7A-27B2-644F-95AD-D8533EC76724}"/>
    <hyperlink ref="A224" r:id="rId150" xr:uid="{6B830774-1D12-884A-9578-B667F3F1035E}"/>
    <hyperlink ref="A123" r:id="rId151" display="REU_1642_FRA" xr:uid="{623F5C13-9A3F-7D48-8091-943809511971}"/>
    <hyperlink ref="A470" r:id="rId152" display="SPM_1763_FRA" xr:uid="{27C623C7-8AB6-D14A-9F1D-B84BECEAA688}"/>
    <hyperlink ref="A124" r:id="rId153" xr:uid="{99FCB47D-5F35-D44E-84F9-36A49C0FD118}"/>
    <hyperlink ref="A193" r:id="rId154" display="TUR_1923" xr:uid="{D6820CC1-C446-5E4C-B79A-6C39B0836888}"/>
    <hyperlink ref="A194" r:id="rId155" display="OTT_1815" xr:uid="{26DA864A-64CD-764C-A2ED-F354A4866DB2}"/>
    <hyperlink ref="A195" r:id="rId156" xr:uid="{274B42B5-8401-7D47-8097-C2DB3591DF7B}"/>
    <hyperlink ref="A197" r:id="rId157" xr:uid="{7D5BD66B-6D8E-724C-B983-8711818A8E02}"/>
    <hyperlink ref="A196" r:id="rId158" xr:uid="{57A8571F-FE14-FA4C-B15D-A6A53AA39690}"/>
    <hyperlink ref="A198" r:id="rId159" display="SYR_1963" xr:uid="{FF7E92FC-B495-D446-907B-6296F29B7CBA}"/>
    <hyperlink ref="A199" r:id="rId160" display="SYR_1950" xr:uid="{E426D070-CE0B-2240-853D-27BD0309F342}"/>
    <hyperlink ref="A200" r:id="rId161" xr:uid="{08D99CC4-9FEE-3340-88C3-E82EB00F88BC}"/>
    <hyperlink ref="A152" r:id="rId162" xr:uid="{6350AB0B-862C-4548-BE93-81B768F87209}"/>
    <hyperlink ref="A145" r:id="rId163" xr:uid="{DFE84C76-3576-5148-9D66-47D771557E90}"/>
    <hyperlink ref="A155" r:id="rId164" xr:uid="{E8410CE7-FD48-724A-811A-F69D3183713A}"/>
    <hyperlink ref="A158" r:id="rId165" xr:uid="{B6FE5FDE-B2FE-314F-831F-5121B286D73E}"/>
    <hyperlink ref="A201" r:id="rId166" xr:uid="{88EEF32B-F83B-884C-ABEF-05B8DB8D8F2B}"/>
    <hyperlink ref="A202" r:id="rId167" xr:uid="{7F8CAF38-48B4-3541-89A6-4715401CA412}"/>
    <hyperlink ref="A203" r:id="rId168" xr:uid="{79FF9E3D-947F-3B4A-AFD5-095EAF963759}"/>
    <hyperlink ref="A204" r:id="rId169" xr:uid="{DF0DB87C-1C96-F44A-919F-2CF2AEF82320}"/>
    <hyperlink ref="A205" r:id="rId170" xr:uid="{3E865C61-0B7D-5F4E-9DE4-4B094DF9BC54}"/>
    <hyperlink ref="A206" r:id="rId171" xr:uid="{5C93D5F6-41EB-8545-B4BD-BFECC9632B1E}"/>
    <hyperlink ref="A207" r:id="rId172" display="SAU_1727" xr:uid="{0259E811-BB9E-E048-8DB7-0DB81A7281A8}"/>
    <hyperlink ref="A208" r:id="rId173" xr:uid="{57F48D8E-5D72-4D4C-97B4-741CFEA5ED27}"/>
    <hyperlink ref="A213" r:id="rId174" xr:uid="{ECB1F8FC-7DE3-F942-8C14-EB1E8EFE2243}"/>
    <hyperlink ref="A212" r:id="rId175" xr:uid="{0855B22A-F91C-E241-84E1-01E962E934C6}"/>
    <hyperlink ref="A211" r:id="rId176" xr:uid="{8FCD598F-AEAF-A74C-BC11-08E9C61E942F}"/>
    <hyperlink ref="A210" r:id="rId177" xr:uid="{B3236D45-022D-0445-9268-ADC644CDB582}"/>
    <hyperlink ref="A209" r:id="rId178" display="ADN_1967" xr:uid="{EFF2270C-2D93-0A43-ABDB-17B26E8DE108}"/>
    <hyperlink ref="A214" r:id="rId179" xr:uid="{FAF77092-641E-9545-A3CF-E71A96A51655}"/>
    <hyperlink ref="A216" r:id="rId180" xr:uid="{A9ED2BE4-CA36-6943-91D7-3CA7987F188A}"/>
    <hyperlink ref="A215" r:id="rId181" xr:uid="{488E994B-FD98-6A4F-A81D-13877D7431BB}"/>
    <hyperlink ref="A217" r:id="rId182" xr:uid="{EFF3F1C9-C02C-8448-816F-496AA3523074}"/>
    <hyperlink ref="A218" r:id="rId183" xr:uid="{E3C560D2-B8E0-0A41-B25E-772558295582}"/>
    <hyperlink ref="A219" r:id="rId184" xr:uid="{D621AB3F-D7F7-2C4A-8788-F46384EDB641}"/>
    <hyperlink ref="A220" r:id="rId185" display="QAT_1913_UK" xr:uid="{509C216F-6EF1-6E43-9E3E-393C06E29861}"/>
    <hyperlink ref="A221" r:id="rId186" xr:uid="{4A6494A5-02FA-254E-95FF-0E8D81891BE0}"/>
    <hyperlink ref="A226" r:id="rId187" display="KUW_1752_OT" xr:uid="{1C8F8EE3-B78F-FC4E-8266-F6CDE0DB1499}"/>
    <hyperlink ref="A225" r:id="rId188" xr:uid="{2F966BEF-B784-F748-B814-0D2E4943328E}"/>
    <hyperlink ref="A223" r:id="rId189" xr:uid="{C8A3A735-778A-B844-BF23-B4186BBDE6AF}"/>
    <hyperlink ref="A227" r:id="rId190" xr:uid="{2D8F5B61-9E98-0949-9046-1E2615431FB3}"/>
    <hyperlink ref="A229" r:id="rId191" xr:uid="{8F4F8EB9-217E-F34D-ACD7-8C26D514F54C}"/>
    <hyperlink ref="A228" r:id="rId192" xr:uid="{B0EF4450-958B-8846-BCA3-5612CF38D1C4}"/>
    <hyperlink ref="A230" r:id="rId193" display="IRN_1979" xr:uid="{2A404587-BD4B-2046-A37C-670E3757F897}"/>
    <hyperlink ref="A231" r:id="rId194" display="AFG_1919" xr:uid="{DA1EFAA6-AFD5-BF44-823A-50D30B4C45D3}"/>
    <hyperlink ref="A232" r:id="rId195" xr:uid="{FECD129E-F5FA-504E-A218-3AD2A7F5D25E}"/>
    <hyperlink ref="A234" r:id="rId196" xr:uid="{4250C09E-E8BF-D640-B172-F947AA49907C}"/>
    <hyperlink ref="A233" r:id="rId197" display="IDA_1950" xr:uid="{D6FA404F-4595-2A4E-9EC7-856DEC70DF8C}"/>
    <hyperlink ref="A235" r:id="rId198" xr:uid="{A676A4CC-87BA-8E45-B7A6-53DFBF479FA9}"/>
    <hyperlink ref="A238" r:id="rId199" xr:uid="{D2073A83-058E-F44E-A527-84A7ED237B52}"/>
    <hyperlink ref="A237" r:id="rId200" xr:uid="{5604DF02-A09A-4B4E-93CE-E873BBACEE3D}"/>
    <hyperlink ref="A236" r:id="rId201" xr:uid="{8513D617-A1F3-3440-BE0B-DEDC3A11FB13}"/>
    <hyperlink ref="A239" r:id="rId202" xr:uid="{428A6B9E-481A-3A4E-BDD4-BF950EE4ABB8}"/>
    <hyperlink ref="A241" r:id="rId203" xr:uid="{8CFB3617-220E-AB46-B3E7-87E9502A9907}"/>
    <hyperlink ref="A240" r:id="rId204" display="MDV_1887_UK" xr:uid="{D978338D-4614-FD44-886F-4929D4A16C04}"/>
    <hyperlink ref="A242" r:id="rId205" xr:uid="{F86E9F2C-D109-3E47-B4B9-AA5ADCC4BE5D}"/>
    <hyperlink ref="A243" r:id="rId206" display="NEP_1923" xr:uid="{16BA7D33-CB18-E64D-ACA7-6EDA69727629}"/>
    <hyperlink ref="A244" r:id="rId207" display="BHU_1900" xr:uid="{DB374FF2-2BB8-9146-9801-534C6907CAA4}"/>
    <hyperlink ref="A245" r:id="rId208" xr:uid="{3E07DE2A-E05E-C54B-929E-AE59EB8E711C}"/>
    <hyperlink ref="A247" r:id="rId209" xr:uid="{4FE9A302-853C-F640-9D98-C99F4F90823D}"/>
    <hyperlink ref="A246" r:id="rId210" display="MYA_1886_UK" xr:uid="{60E85CEB-40FA-2E47-A45F-CB13865E83AE}"/>
    <hyperlink ref="A248" r:id="rId211" display="THA_1932" xr:uid="{BA57BA87-1A86-2645-8B4C-7B384A71B863}"/>
    <hyperlink ref="A249" r:id="rId212" xr:uid="{A31A4287-7C5C-EE4D-9EE3-81E08A686335}"/>
    <hyperlink ref="A250" r:id="rId213" display="SAR_1841_UK" xr:uid="{DD6D3780-4B18-9F4C-8B80-9861386D043D}"/>
    <hyperlink ref="A251" r:id="rId214" xr:uid="{96EA8CC0-5C48-AC4D-90B0-1192F1673086}"/>
    <hyperlink ref="A252" r:id="rId215" xr:uid="{F4E3D1AD-5579-9F4F-88B7-C2B1A1937D06}"/>
    <hyperlink ref="A253" r:id="rId216" xr:uid="{48E803F4-B2F0-114C-BF25-604AAE3C4E45}"/>
    <hyperlink ref="A255" r:id="rId217" xr:uid="{37A77E99-A0C7-E844-B122-3CAE7464B8FA}"/>
    <hyperlink ref="A254" r:id="rId218" xr:uid="{E402A246-EA9E-F84D-95CC-1A6AA08B7505}"/>
    <hyperlink ref="A257" r:id="rId219" xr:uid="{F9A54ECD-4ED4-5D42-ACEB-C05566F220FF}"/>
    <hyperlink ref="A256" r:id="rId220" xr:uid="{B4E3073F-37C3-694A-B67A-A94ACE30DFCB}"/>
    <hyperlink ref="A258" r:id="rId221" display="EAS_1975" xr:uid="{0005A8AF-DF14-324F-8C2B-3589119C31A6}"/>
    <hyperlink ref="A259" r:id="rId222" xr:uid="{3F5FEE08-0D81-A74B-B2B2-2F2D088C7ED0}"/>
    <hyperlink ref="A260" r:id="rId223" xr:uid="{F6514CD9-83F7-AA4D-A1FD-D017320D49F7}"/>
    <hyperlink ref="A262" r:id="rId224" xr:uid="{AACB19FE-FD06-4C4F-9EC8-12F31A775D11}"/>
    <hyperlink ref="A261" r:id="rId225" xr:uid="{ACE48B90-93E6-CD4B-AAD1-5C6F0AC54B43}"/>
    <hyperlink ref="A265" r:id="rId226" xr:uid="{363C1790-9F02-1C4C-929C-ECE7E0BC1E48}"/>
    <hyperlink ref="A266" r:id="rId227" xr:uid="{754AF540-9B72-3F47-ADFF-EE1FA64974FE}"/>
    <hyperlink ref="A267" r:id="rId228" xr:uid="{3CB1C316-576A-8748-A9BA-2136C43D707B}"/>
    <hyperlink ref="A268" r:id="rId229" xr:uid="{269EF296-60A4-6548-8620-3D1D23CEF50C}"/>
    <hyperlink ref="A269" r:id="rId230" xr:uid="{5965085D-1705-624F-91B5-F659A52DCE39}"/>
    <hyperlink ref="A270" r:id="rId231" xr:uid="{86DFE753-9C40-F842-8D31-DDB682CC287F}"/>
    <hyperlink ref="A275" r:id="rId232" xr:uid="{775E76A4-E9F6-6B4A-9ECD-4D9C83AA4EDD}"/>
    <hyperlink ref="A274" r:id="rId233" xr:uid="{D85CBDD9-3751-DE4F-A6EF-34D005E94C2E}"/>
    <hyperlink ref="A273" r:id="rId234" xr:uid="{578A778A-4997-704F-BB36-70954A5ADF0D}"/>
    <hyperlink ref="A272" r:id="rId235" xr:uid="{228013C1-C2FD-0F44-93C9-BCA05B6E2EE0}"/>
    <hyperlink ref="A271" r:id="rId236" xr:uid="{BE0F5D06-974E-FD4A-949B-840EC69F0B2B}"/>
    <hyperlink ref="A276" r:id="rId237" xr:uid="{CB27C71B-3134-3640-876D-C998894EBB4A}"/>
    <hyperlink ref="A277" r:id="rId238" xr:uid="{B6918323-899C-1A41-A325-EED8F04CA604}"/>
    <hyperlink ref="A278" r:id="rId239" xr:uid="{A14244D9-0173-7C41-B1B3-3BEE959888C6}"/>
    <hyperlink ref="A279" r:id="rId240" display="JAP_0710" xr:uid="{5BA95265-9BE0-5346-BD90-008A062454A9}"/>
    <hyperlink ref="A280" r:id="rId241" display="SOK_1948" xr:uid="{157706F4-688F-5741-BD62-C875195A4295}"/>
    <hyperlink ref="A283" r:id="rId242" xr:uid="{269D0E15-EF1D-7E45-BB8E-75B97B3E7D6E}"/>
    <hyperlink ref="A281" r:id="rId243" display="NOK_1948" xr:uid="{7F73D8F6-4468-7D46-9702-C2BBEB171779}"/>
    <hyperlink ref="A282" r:id="rId244" xr:uid="{4370A45E-3ACA-8947-928F-9913D0417FFC}"/>
    <hyperlink ref="A284" r:id="rId245" display="MON_1924" xr:uid="{1481478C-86E6-A447-9668-7C720334084A}"/>
    <hyperlink ref="A285" r:id="rId246" xr:uid="{8D9C8895-0F18-EA4F-A335-15BF88D501B2}"/>
    <hyperlink ref="A287" r:id="rId247" xr:uid="{3C2A41F6-1B18-6B47-ABE1-2557DF26A88B}"/>
    <hyperlink ref="A286" r:id="rId248" xr:uid="{C95E4F2A-D612-B047-8837-2BDC206D5795}"/>
    <hyperlink ref="A288" r:id="rId249" xr:uid="{B4CE09AB-6708-AE4C-AEEA-D5288C0E95B5}"/>
    <hyperlink ref="A289" r:id="rId250" xr:uid="{B956C3D3-975E-D842-8D0B-05EBCAF07F77}"/>
    <hyperlink ref="A290" r:id="rId251" xr:uid="{FED38951-66BF-4143-B184-C1AE705BE4D6}"/>
    <hyperlink ref="A291" r:id="rId252" xr:uid="{69385380-FCAB-724A-AD44-10751047D973}"/>
    <hyperlink ref="A292" r:id="rId253" xr:uid="{51396084-DAFB-384F-A236-F5FDE30A3CD5}"/>
    <hyperlink ref="A293" r:id="rId254" xr:uid="{EC8298EC-A5D0-B447-BEC0-3B5A0EFC71A6}"/>
    <hyperlink ref="A294" r:id="rId255" xr:uid="{C8C22CE5-8977-5341-A666-5FDF93689E06}"/>
    <hyperlink ref="A298" r:id="rId256" xr:uid="{7923165D-26AA-6A41-B7C1-43D0936AAAF4}"/>
    <hyperlink ref="A295" r:id="rId257" xr:uid="{0AF8953C-0A4A-8349-8F7E-70392AD89E55}"/>
    <hyperlink ref="A296" r:id="rId258" xr:uid="{51453DB0-A907-9248-98CA-15778B06DFD1}"/>
    <hyperlink ref="A297" r:id="rId259" xr:uid="{24F8E2B2-8319-FE4B-B959-F2BB2099784F}"/>
    <hyperlink ref="A299" r:id="rId260" xr:uid="{5F79E435-86BE-8C4D-AF6C-117BC6CD3AB4}"/>
    <hyperlink ref="A300" r:id="rId261" xr:uid="{FFD7DADC-02E7-7A40-AECB-315CC9362CA2}"/>
    <hyperlink ref="A301" r:id="rId262" xr:uid="{28BDD5E6-509C-8343-9188-1A281F9E36CC}"/>
    <hyperlink ref="A302" r:id="rId263" xr:uid="{AF83648B-8432-0D43-A184-649F314B90B2}"/>
    <hyperlink ref="A303" r:id="rId264" xr:uid="{E4AFE010-D228-024E-A359-E464BA0613A4}"/>
    <hyperlink ref="A305" r:id="rId265" xr:uid="{B14130C6-47FC-6148-B34F-F7A159B89723}"/>
    <hyperlink ref="A304" r:id="rId266" xr:uid="{C9CE762D-7BA2-3846-9C21-B1951242D60C}"/>
    <hyperlink ref="A306" r:id="rId267" display="POL_1025" xr:uid="{7989480C-E3AB-C047-BA5C-F04B8D52A2A4}"/>
    <hyperlink ref="A307" r:id="rId268" xr:uid="{62DD6272-B9F8-9548-A6F8-BFB7579C69E9}"/>
    <hyperlink ref="A308" r:id="rId269" xr:uid="{F123C028-C977-4948-BE00-EAA494982EC1}"/>
    <hyperlink ref="A309" r:id="rId270" xr:uid="{B62002C5-F256-F640-A474-C7B7CC32B0C8}"/>
    <hyperlink ref="A310" r:id="rId271" xr:uid="{97339CF9-6459-AF41-A0EF-333BF224D0D1}"/>
    <hyperlink ref="A311" r:id="rId272" xr:uid="{1F5690D2-94F1-B240-B8B0-2321745DB7C9}"/>
    <hyperlink ref="A312" r:id="rId273" display="HUN_1000" xr:uid="{E9CE6C21-EF4B-5C43-8BD7-A76D5E016979}"/>
    <hyperlink ref="A313" r:id="rId274" xr:uid="{CBFA65B3-3B9A-ED41-A983-A40A7943DDEC}"/>
    <hyperlink ref="A314" r:id="rId275" xr:uid="{E8AD846C-BA37-DC45-BDDF-9E33A9012039}"/>
    <hyperlink ref="A315" r:id="rId276" xr:uid="{7206D424-305E-7E49-80F7-1F17785E61EB}"/>
    <hyperlink ref="A316" r:id="rId277" xr:uid="{A8D72A8A-8E95-BA47-B617-D83A078C1901}"/>
    <hyperlink ref="A317" r:id="rId278" xr:uid="{D2E03EFB-5650-1C4C-A577-75CAF6DAF02F}"/>
    <hyperlink ref="A318" r:id="rId279" display="GRE_1822" xr:uid="{F8662C1A-020F-6E47-A5C1-49A1691176B9}"/>
    <hyperlink ref="A319" r:id="rId280" xr:uid="{BEFBC314-51E7-5046-91EE-437D2FC762D5}"/>
    <hyperlink ref="A320" r:id="rId281" display="ALB_1912" xr:uid="{C2553738-2DAA-ED4B-97EC-944EF6A2FB92}"/>
    <hyperlink ref="A321" r:id="rId282" xr:uid="{DA93BD93-80A4-8B4E-93A2-8572AC057446}"/>
    <hyperlink ref="A323" r:id="rId283" display="SER_1992" xr:uid="{09B64401-3FE8-A54E-921D-689DA261C288}"/>
    <hyperlink ref="A324" r:id="rId284" xr:uid="{C26A994E-1BD1-D845-9B31-4B8C46EF227A}"/>
    <hyperlink ref="A325" r:id="rId285" xr:uid="{44B8E64D-44C0-7A4C-94BD-F7A4494430B7}"/>
    <hyperlink ref="A326" r:id="rId286" xr:uid="{275737E2-29D9-D54A-9A53-CB868FEC825E}"/>
    <hyperlink ref="A327" r:id="rId287" xr:uid="{A4A5037D-EA57-4A4B-BA7F-DCB345CE51F0}"/>
    <hyperlink ref="A328" r:id="rId288" xr:uid="{A8D299A6-74C8-A94B-A0B3-D801AA3537C0}"/>
    <hyperlink ref="A329" r:id="rId289" display="MNT_1992" xr:uid="{66D56565-51D9-B047-9E29-4759A852D2E9}"/>
    <hyperlink ref="A330" r:id="rId290" xr:uid="{81B211D8-08A4-844E-9889-A43406542C67}"/>
    <hyperlink ref="A331" r:id="rId291" xr:uid="{0CB38A0E-C6C1-6C4D-8EC6-FA13A1720718}"/>
    <hyperlink ref="A332" r:id="rId292" xr:uid="{15FB93DF-C916-1542-BB2D-79BA77A189E6}"/>
    <hyperlink ref="A333" r:id="rId293" display="AUS_1955" xr:uid="{E907F041-7278-864C-997A-1F68F7894399}"/>
    <hyperlink ref="A334" r:id="rId294" xr:uid="{E18E4641-42DE-7049-A91E-5D6D9DAB5D5C}"/>
    <hyperlink ref="A335" r:id="rId295" xr:uid="{566F5D30-D2E5-DF44-BCD4-1325FCB34B28}"/>
    <hyperlink ref="A336" r:id="rId296" xr:uid="{F3A69935-AC7B-B843-88E3-FF3CF4CA3B4A}"/>
    <hyperlink ref="A338" r:id="rId297" xr:uid="{2F720A22-F4EB-6A4C-B0B3-D039199562C8}"/>
    <hyperlink ref="A339" r:id="rId298" xr:uid="{CEA05F9E-5A38-7C48-90A1-F1B8D917FC80}"/>
    <hyperlink ref="A340" r:id="rId299" xr:uid="{8F2694C3-E5AA-4446-A1BD-CA2A54D8AE77}"/>
    <hyperlink ref="A341" r:id="rId300" xr:uid="{77267112-AABB-A541-97E9-18C7882678EB}"/>
    <hyperlink ref="A342" r:id="rId301" xr:uid="{BA657A22-0340-8F47-BC20-834694BFF846}"/>
    <hyperlink ref="A343" r:id="rId302" display="SMA_1291" xr:uid="{01AA432B-484B-A448-A575-87A75EAF8380}"/>
    <hyperlink ref="A344" r:id="rId303" xr:uid="{851C35BD-556F-EC42-9046-D36D49CEDC74}"/>
    <hyperlink ref="A345" r:id="rId304" xr:uid="{4FFEC156-7A24-B549-8E9B-8A0018791E84}"/>
    <hyperlink ref="A348" r:id="rId305" xr:uid="{2AE3CFBE-915C-CB4C-98A2-391AE9846FBC}"/>
    <hyperlink ref="A347" r:id="rId306" xr:uid="{8FB03F8A-5868-554A-88F4-E312CAAD29A1}"/>
    <hyperlink ref="A346" r:id="rId307" xr:uid="{08AFB111-2136-7D40-8B2B-D411CFA4A883}"/>
    <hyperlink ref="A349" r:id="rId308" xr:uid="{38FCFF94-6320-404D-858A-B0600552A748}"/>
    <hyperlink ref="A353" r:id="rId309" xr:uid="{3FF416BE-10E9-9C48-A3DF-72F137163AB4}"/>
    <hyperlink ref="A354" r:id="rId310" xr:uid="{46E68FEA-3CB1-D448-9F3D-1B1697773632}"/>
    <hyperlink ref="A355" r:id="rId311" xr:uid="{3BECADFC-9D75-7243-AF1D-603BC31560EE}"/>
    <hyperlink ref="A356" r:id="rId312" xr:uid="{5CCDA650-BEA1-E242-B630-C0F0FF615877}"/>
    <hyperlink ref="A357" r:id="rId313" display="AND_1814" xr:uid="{2203B0EA-BDDB-2545-A7A6-9BB5D801BBD2}"/>
    <hyperlink ref="A358" r:id="rId314" xr:uid="{EC3796C7-F420-3747-9176-A68D85D65B77}"/>
    <hyperlink ref="A395" r:id="rId315" display="BHM-1973" xr:uid="{4042E2BC-A2D6-2943-8E3C-DDDFE15BEF90}"/>
    <hyperlink ref="A396" r:id="rId316" xr:uid="{E91C47F9-61D1-6A4B-B581-18B4D2E6C382}"/>
    <hyperlink ref="A397" r:id="rId317" xr:uid="{EC6E6D95-0DF9-3740-8409-D75231C165E3}"/>
    <hyperlink ref="A398" r:id="rId318" display="BAR_1627" xr:uid="{39C5C967-8274-F041-B483-760BA8951926}"/>
    <hyperlink ref="A399" r:id="rId319" xr:uid="{022A01E8-20DA-0D49-9239-4D3AA6ACC8F2}"/>
    <hyperlink ref="A416" r:id="rId320" xr:uid="{CBD8AF45-0037-7141-B228-AEC140C44517}"/>
    <hyperlink ref="A415" r:id="rId321" xr:uid="{C1BB9CA4-884A-3041-9519-5CD672C44AAD}"/>
    <hyperlink ref="A400" r:id="rId322" xr:uid="{1CB68593-12D6-2943-813C-75B7B5B351BD}"/>
    <hyperlink ref="A401" r:id="rId323" xr:uid="{C8406D88-6DEA-C64E-AA8B-5022F0818AF7}"/>
    <hyperlink ref="A414" r:id="rId324" xr:uid="{4F36B476-4FEB-1741-AB69-9FBFBA80F553}"/>
    <hyperlink ref="A403" r:id="rId325" location="British_period" xr:uid="{D7FE9651-F257-5142-BD0F-48BA460226A7}"/>
    <hyperlink ref="A402" r:id="rId326" xr:uid="{28651D3A-96F1-2B45-A840-DE6C5955C3BF}"/>
    <hyperlink ref="A404" r:id="rId327" xr:uid="{5E955D89-89F6-8446-AC8A-17BFA3DF1C49}"/>
    <hyperlink ref="A409" r:id="rId328" xr:uid="{95017F63-56A3-3446-AB4E-58BB6E241B39}"/>
    <hyperlink ref="A417" r:id="rId329" xr:uid="{BB44AB0A-3ED3-0847-BB6A-F491DB4BB571}"/>
    <hyperlink ref="A422" r:id="rId330" display="GDL_1635_FRA" xr:uid="{9B17E894-C19E-9A4E-A969-D4831E80DC90}"/>
    <hyperlink ref="A423" r:id="rId331" xr:uid="{E194E35D-341C-0042-9380-E9F61B8FB20D}"/>
    <hyperlink ref="A426" r:id="rId332" xr:uid="{99225DFC-12C3-5942-BED7-E51C563C68E2}"/>
    <hyperlink ref="A427" r:id="rId333" xr:uid="{3F45EA8F-2BAC-FD44-806A-CCE4C4DB0DB1}"/>
    <hyperlink ref="A428" r:id="rId334" xr:uid="{2C61E762-6D36-444A-82B4-5CE949175DE1}"/>
    <hyperlink ref="A429" r:id="rId335" xr:uid="{8A12B9C2-1269-1D4E-A2B6-EEC4D8496899}"/>
    <hyperlink ref="A431" r:id="rId336" xr:uid="{63F1301E-304D-A64A-BB4C-667150CEC96F}"/>
    <hyperlink ref="A430" r:id="rId337" xr:uid="{6E0CA327-29DF-3F43-9706-5E4F54840C2D}"/>
    <hyperlink ref="A438" r:id="rId338" display="BER_1609_UK" xr:uid="{46D8C3DB-95A1-D543-ABB1-322CCFF0CCCC}"/>
    <hyperlink ref="A439" r:id="rId339" xr:uid="{DA9ED47B-558F-F34B-B128-781B6058D721}"/>
    <hyperlink ref="A441" r:id="rId340" xr:uid="{98F8B171-9387-3B40-8FD3-E99E39260478}"/>
    <hyperlink ref="A442" r:id="rId341" display="AGU_1650_UK" xr:uid="{D5867CAC-C4DD-0A4C-820F-011D301025BA}"/>
    <hyperlink ref="A432" r:id="rId342" display="DRP_1844" xr:uid="{3A16B3FA-98B0-EC4D-B156-8EBEB35FD469}"/>
    <hyperlink ref="A437" r:id="rId343" xr:uid="{63C9D15E-2E1E-1D4A-8EA2-7CE18795BFD8}"/>
    <hyperlink ref="A436" r:id="rId344" xr:uid="{353370A5-8C38-B341-8B79-73BCFD082663}"/>
    <hyperlink ref="A435" r:id="rId345" xr:uid="{C9124DA9-0937-3042-B4B5-EA65576FFF29}"/>
    <hyperlink ref="A434" r:id="rId346" xr:uid="{9DE19F64-BD62-3A4C-970E-6BB5F2E0AC06}"/>
    <hyperlink ref="A433" r:id="rId347" xr:uid="{489FB184-FAC7-664F-B027-16DEEE329BC3}"/>
    <hyperlink ref="A443" r:id="rId348" display="HAI_1825" xr:uid="{20FC373B-0579-CA44-B03C-FA7196E0F978}"/>
    <hyperlink ref="A444" r:id="rId349" xr:uid="{16453E5A-B82A-3146-AC25-AB5815A0E9C8}"/>
    <hyperlink ref="A445" r:id="rId350" xr:uid="{01195BB0-4970-794F-9674-7CB298AA91A0}"/>
    <hyperlink ref="A447" r:id="rId351" xr:uid="{EBD45FEB-B5B5-6546-87D8-D9C0E071CA55}"/>
    <hyperlink ref="A446" r:id="rId352" display="CUB_1899_US" xr:uid="{E59A410E-C54C-C742-8694-7E3063787D88}"/>
    <hyperlink ref="A390" r:id="rId353" display="FAR_1380_DEN" xr:uid="{42D9C683-B7B8-7445-ACBA-C4447E1C2B08}"/>
    <hyperlink ref="A448" r:id="rId354" xr:uid="{9E13E45D-6278-0346-B1B9-C7CD23A9C1DA}"/>
    <hyperlink ref="A450" r:id="rId355" xr:uid="{B2C99E5F-71D4-724D-986B-B40619053094}"/>
    <hyperlink ref="A449" r:id="rId356" xr:uid="{41891AAE-0ABD-1C48-BC7E-EA169F415CE9}"/>
    <hyperlink ref="A451" r:id="rId357" xr:uid="{8C137F5A-0086-5A43-8648-CE66C967977C}"/>
    <hyperlink ref="A181" r:id="rId358" display="COL_1550_SPA" xr:uid="{573FBB4D-5C14-024E-9BC9-05C0CFB467F5}"/>
    <hyperlink ref="A180" r:id="rId359" xr:uid="{B0855B91-C769-9C41-B47E-6F6575C50386}"/>
    <hyperlink ref="A452" r:id="rId360" xr:uid="{A3D855C8-CE0E-2549-9065-78B8C950B81D}"/>
    <hyperlink ref="A453" r:id="rId361" xr:uid="{36D85C37-9078-7840-B707-A675EE78937D}"/>
    <hyperlink ref="A361" r:id="rId362" xr:uid="{7CC7E62C-2194-8A4C-B8C1-49C9369B52BF}"/>
    <hyperlink ref="A359" r:id="rId363" xr:uid="{90D41788-CCAD-EC4F-8D6B-D47D776711B3}"/>
    <hyperlink ref="A454" r:id="rId364" xr:uid="{AF5C3287-4E5F-DD44-9B93-59699B40A0E8}"/>
    <hyperlink ref="A455" r:id="rId365" xr:uid="{D486C0E8-C35D-1A4A-9467-04C01277C17C}"/>
    <hyperlink ref="A362" r:id="rId366" xr:uid="{DDB9E810-1ED4-304A-99B9-4D44DE21A220}"/>
    <hyperlink ref="A363" r:id="rId367" xr:uid="{140030D8-4220-844B-AED3-D32E864EC7A2}"/>
    <hyperlink ref="A364" r:id="rId368" xr:uid="{BD2F4E22-B4B4-0145-9CF6-62792FCC1779}"/>
    <hyperlink ref="A365" r:id="rId369" display="DEN_1849" xr:uid="{6F87CC8A-1053-D44A-8802-DB79EEA1BACD}"/>
    <hyperlink ref="A366" r:id="rId370" xr:uid="{77371C25-F45F-3D44-9DCD-21BC7318B3FE}"/>
    <hyperlink ref="A368" r:id="rId371" xr:uid="{826C1A56-0B2A-C145-A740-5AAAA498998D}"/>
    <hyperlink ref="A369" r:id="rId372" xr:uid="{9263B6FB-7E76-3144-96A9-B0F9B4FE9DF5}"/>
    <hyperlink ref="A370" r:id="rId373" xr:uid="{660357D4-B615-BB4B-B312-8C2C07CA2816}"/>
    <hyperlink ref="A371" r:id="rId374" xr:uid="{C9ED3B72-9029-B544-82F2-A54A5F9EECF1}"/>
    <hyperlink ref="A372" r:id="rId375" display="WUR_1814" xr:uid="{A5D0D6DB-DD1A-3142-B56B-0D6F034EF329}"/>
    <hyperlink ref="A337" r:id="rId376" display="LIE_1866" xr:uid="{BC2DE194-E253-1640-A75F-C348D5EF9213}"/>
    <hyperlink ref="A374" r:id="rId377" xr:uid="{A65F8E0E-151E-DF4E-821B-D4E8E7F783EE}"/>
    <hyperlink ref="A373" r:id="rId378" xr:uid="{32B713A5-878B-DD47-B415-CBAFD83302AA}"/>
    <hyperlink ref="A377" r:id="rId379" xr:uid="{04070D46-358C-8243-9127-9380C7BEBF8B}"/>
    <hyperlink ref="A375" r:id="rId380" display="WGR_1954" xr:uid="{8EAF562E-770C-B140-86C9-EE0134416A24}"/>
    <hyperlink ref="A367" r:id="rId381" xr:uid="{B6E98171-C37A-C34E-B32C-AC402B73E88C}"/>
    <hyperlink ref="A376" r:id="rId382" xr:uid="{5E01C5B4-BE77-344E-B266-955659A836D9}"/>
    <hyperlink ref="A378" r:id="rId383" xr:uid="{91CBD708-1272-CE4B-B0B8-9FA8615A489C}"/>
    <hyperlink ref="A379" r:id="rId384" xr:uid="{0D5345A7-47A8-6349-88AF-AB3D2CF294D9}"/>
    <hyperlink ref="A380" r:id="rId385" xr:uid="{ABCB0AD2-97D5-E243-A528-1D695CA0A99C}"/>
    <hyperlink ref="A381" r:id="rId386" xr:uid="{75A35EB7-A3DC-DF4A-A1D3-5E4916BE943E}"/>
    <hyperlink ref="A382" r:id="rId387" xr:uid="{BFB61A18-E754-2844-8AE0-4E3535D76917}"/>
    <hyperlink ref="A383" r:id="rId388" xr:uid="{0FD0624C-E456-A040-898D-85E84A2B8DB7}"/>
    <hyperlink ref="A384" r:id="rId389" xr:uid="{C3837F28-78A8-444C-A924-CF6233DA9520}"/>
    <hyperlink ref="A385" r:id="rId390" display="NOR_1905" xr:uid="{865B93E9-F208-4646-8853-BB28BA93729A}"/>
    <hyperlink ref="A386" r:id="rId391" display="SVA_1925_NOR" xr:uid="{FFCB0697-0692-574A-8613-35A3871BCF6A}"/>
    <hyperlink ref="A391" r:id="rId392" display="IRE_1948" xr:uid="{73D5EC26-1395-2042-A0D4-6F618AC6C00C}"/>
    <hyperlink ref="A132" r:id="rId393" xr:uid="{AA5D1DAC-9920-2146-9033-72207BA01E6A}"/>
    <hyperlink ref="A392" r:id="rId394" display="IRE_1542" xr:uid="{6FD10BE7-BCFB-9343-9242-AC95C7826B31}"/>
    <hyperlink ref="A387" r:id="rId395" xr:uid="{4B9E1428-B873-6B4F-A3F3-94BE9464CA2E}"/>
    <hyperlink ref="A389" r:id="rId396" xr:uid="{CB2131D3-8B07-2548-9829-4DA9701C50D3}"/>
    <hyperlink ref="A388" r:id="rId397" xr:uid="{BA9FC681-CDD3-3441-A71A-C5172C8F5A01}"/>
    <hyperlink ref="A393" r:id="rId398" display="ICE_1944" xr:uid="{E8AA4E79-5659-6A42-9F6C-811344066891}"/>
    <hyperlink ref="A394" r:id="rId399" xr:uid="{8C229C1C-C841-2440-8C4C-F0C68C3F08EF}"/>
    <hyperlink ref="A456" r:id="rId400" xr:uid="{8F4DCBA4-4FD3-D046-81F7-92FB467D5926}"/>
    <hyperlink ref="A457" r:id="rId401" xr:uid="{0CE52924-1FDC-E04C-97C9-4837257328D8}"/>
    <hyperlink ref="A458" r:id="rId402" xr:uid="{5237024F-5CD1-734D-8B5A-91F3C2A9BFCF}"/>
    <hyperlink ref="A459" r:id="rId403" xr:uid="{626CC751-F782-8246-AEE9-41D481EF9693}"/>
    <hyperlink ref="A460" r:id="rId404" xr:uid="{0A9108E1-EA79-A94F-9B4F-EAECB675CA09}"/>
    <hyperlink ref="A461" r:id="rId405" xr:uid="{E6C2EB05-2B05-0246-894E-2E8CF735DB00}"/>
    <hyperlink ref="A462" r:id="rId406" xr:uid="{EE20CA1C-8903-3E45-8FE3-3A96BEB48170}"/>
    <hyperlink ref="A464" r:id="rId407" display="PUE_1580_SPA" xr:uid="{ED5EB7CA-2E26-7A40-8CC9-05B3173E8CE4}"/>
    <hyperlink ref="A463" r:id="rId408" xr:uid="{40EB7A0C-AE7E-9A4A-A886-FE79DF77187F}"/>
    <hyperlink ref="A466" r:id="rId409" xr:uid="{D656FF66-D335-4A44-B438-D9F297F40F26}"/>
    <hyperlink ref="A465" r:id="rId410" xr:uid="{C6896667-6885-2943-BAFB-11F5D841C539}"/>
    <hyperlink ref="A467" r:id="rId411" xr:uid="{07C82848-7A3B-9F4E-BC86-5352A92612D6}"/>
    <hyperlink ref="A468" r:id="rId412" xr:uid="{A6D8082D-D265-8944-903A-A4B9E97823CA}"/>
    <hyperlink ref="A469" r:id="rId413" xr:uid="{E8981433-2082-6F49-81AB-A27313F06865}"/>
    <hyperlink ref="A471" r:id="rId414" xr:uid="{C7DBE94D-FB19-984F-B5B7-4EC6C71331C6}"/>
    <hyperlink ref="A472" r:id="rId415" xr:uid="{851DDE98-FD03-AA45-92BC-E89CA481F22F}"/>
    <hyperlink ref="A473" r:id="rId416" xr:uid="{E94BE5C9-79D6-C043-9F09-C405F865BD2E}"/>
    <hyperlink ref="A474" r:id="rId417" xr:uid="{E616E421-D231-F241-8DC6-6A422A516681}"/>
    <hyperlink ref="A510" r:id="rId418" xr:uid="{BBAC9EB6-E6D4-D245-8A5A-5ED9C0F3C60E}"/>
    <hyperlink ref="A475" r:id="rId419" xr:uid="{D3AC9FAF-94FD-DE46-A589-0025E093B0D5}"/>
    <hyperlink ref="A476" r:id="rId420" xr:uid="{F86A3481-166B-0841-B91D-12275A2311BA}"/>
    <hyperlink ref="A477" r:id="rId421" xr:uid="{84887EFE-538B-1049-9DE8-A2CEBD07C336}"/>
    <hyperlink ref="A480" r:id="rId422" xr:uid="{DE705DDD-8EB6-AE43-AD34-7A09136014C7}"/>
    <hyperlink ref="A478" r:id="rId423" display="PNG_1906_AUS" xr:uid="{43920447-3D63-8F42-8303-1DDA9DF29B10}"/>
    <hyperlink ref="A479" r:id="rId424" xr:uid="{457E7BB9-0147-6B4F-8941-0DFCB8613B95}"/>
    <hyperlink ref="A481" r:id="rId425" xr:uid="{673DB0B6-831B-1F44-8E23-425C0DA3A8B2}"/>
    <hyperlink ref="A482" r:id="rId426" xr:uid="{FF1D865E-F533-644B-AF45-5AE4C6739DE7}"/>
    <hyperlink ref="A483" r:id="rId427" xr:uid="{1FF8894C-2B08-3A48-9EF4-0C70AE57B2EF}"/>
    <hyperlink ref="A484" r:id="rId428" location="Post-World_War_II_%E2%80%93_transition_to_independence" xr:uid="{28A62C09-32E2-7A4F-AE41-1AAE0CB93BD0}"/>
    <hyperlink ref="A485" r:id="rId429" xr:uid="{606E07F4-8208-EE4E-A49B-E1FBE47A1F03}"/>
    <hyperlink ref="A486" r:id="rId430" xr:uid="{E4E0C8F9-7DC4-E34F-A0B0-E3656200FAA4}"/>
    <hyperlink ref="A487" r:id="rId431" xr:uid="{78B466CE-54A4-4C4C-9CD7-28CC551F6954}"/>
    <hyperlink ref="A488" r:id="rId432" xr:uid="{CF2426BA-C31B-FE46-ACBB-42DCA7D6F3F2}"/>
    <hyperlink ref="A489" r:id="rId433" xr:uid="{9A292174-3698-A642-AEE4-C6744CE97B46}"/>
    <hyperlink ref="A492" r:id="rId434" xr:uid="{53CB0CD5-6E5C-474F-91F7-69725020EDD8}"/>
    <hyperlink ref="A491" r:id="rId435" xr:uid="{6FB62CB9-B069-9945-9772-6F766B0F3FC7}"/>
    <hyperlink ref="A490" r:id="rId436" xr:uid="{C87CA51E-366C-1F4A-9C75-940E479A117D}"/>
    <hyperlink ref="A493" r:id="rId437" xr:uid="{B110EF17-E3EF-2349-92FB-0A77AC3941A4}"/>
    <hyperlink ref="A494" r:id="rId438" display="NHB_1906_FRA" xr:uid="{4291465D-2376-C84A-9439-DEF8EB2A99C7}"/>
    <hyperlink ref="A495" r:id="rId439" xr:uid="{B6E64BCA-51E3-C34E-BCA5-7C0A2FFB75A7}"/>
    <hyperlink ref="A496" r:id="rId440" location="World_War_I_to_World_War_II" xr:uid="{193059E9-EDE8-2343-8785-00BBFE590123}"/>
    <hyperlink ref="A497" r:id="rId441" display="FPY_1880_FRA" xr:uid="{5493CC9F-DCA2-BA49-AD78-0C2F608DD815}"/>
    <hyperlink ref="A498" r:id="rId442" xr:uid="{277BF6F3-6362-4441-BDD4-BB5829BD188A}"/>
    <hyperlink ref="A499" r:id="rId443" xr:uid="{F86C4CE2-C4A1-5743-A57E-CC68D95CFFA7}"/>
    <hyperlink ref="A500" r:id="rId444" location="Colonial_rule" xr:uid="{780A2C72-3C6D-3F48-8DEE-AB8F49246D5C}"/>
    <hyperlink ref="A502" r:id="rId445" xr:uid="{15EEA8EC-A6C1-E044-B8D7-E5415C969FCB}"/>
    <hyperlink ref="A501" r:id="rId446" xr:uid="{C6B4826B-BD20-1C4C-9868-F355DA67673F}"/>
    <hyperlink ref="A503" r:id="rId447" xr:uid="{0D7A5B85-316F-D747-8616-13D514E257EC}"/>
    <hyperlink ref="A504" r:id="rId448" xr:uid="{43FE91A2-04A1-F84E-9B74-4EE8D76680EB}"/>
    <hyperlink ref="A505" r:id="rId449" xr:uid="{DE9A6438-B3ED-6F4F-BC0B-3AFB333CF642}"/>
    <hyperlink ref="A506" r:id="rId450" xr:uid="{CDBE03BD-55D1-7048-913F-B4DE2FC86DC5}"/>
    <hyperlink ref="A507" r:id="rId451" xr:uid="{BCC400F2-A425-C44B-B491-E0C345E5A6CC}"/>
    <hyperlink ref="A508" r:id="rId452" xr:uid="{B4AF0CB7-3623-B845-9E64-AA32A089DA05}"/>
    <hyperlink ref="A509" r:id="rId453" xr:uid="{89F55004-7892-FD45-B9CC-FF6D079C7A7D}"/>
    <hyperlink ref="A166" r:id="rId454" xr:uid="{B18D02B6-CD7E-7F4B-98F6-D143D1B08974}"/>
    <hyperlink ref="A165" r:id="rId455" xr:uid="{900A2EE7-60DE-364F-A08E-D9F07CACB398}"/>
    <hyperlink ref="A164" r:id="rId456" xr:uid="{5FDD6A29-1518-5841-8EB9-06CB75529BFB}"/>
    <hyperlink ref="A167" r:id="rId457" display="URU_1828" xr:uid="{CD7ADCD6-E5E5-8C4B-8AA8-8C20FC12E666}"/>
    <hyperlink ref="A168" r:id="rId458" xr:uid="{53A58F26-E8EA-7640-8A0F-4C3F78EDCCA8}"/>
    <hyperlink ref="A169" r:id="rId459" display="UPR_1811" xr:uid="{E40E4402-8D06-6249-86DA-1F54DE0B734F}"/>
    <hyperlink ref="A170" r:id="rId460" xr:uid="{DF340159-B74C-E840-9360-5621D513691D}"/>
    <hyperlink ref="A171" r:id="rId461" xr:uid="{7BC2F5FD-0B21-8847-9198-5EFA8C6DBB00}"/>
    <hyperlink ref="A172" r:id="rId462" xr:uid="{40F10A7D-7C68-B241-BCF3-0190832B5601}"/>
    <hyperlink ref="A173" r:id="rId463" xr:uid="{C1BECED8-435A-0342-8D0B-38654DA9A8A1}"/>
    <hyperlink ref="A174" r:id="rId464" xr:uid="{0C988540-A750-5345-8882-757A70FCB879}"/>
    <hyperlink ref="A175" r:id="rId465" xr:uid="{179C162B-D1A1-2044-93AB-D62185D7850C}"/>
    <hyperlink ref="A177" r:id="rId466" xr:uid="{14C23B24-6207-944F-86E3-1616D6D8E517}"/>
    <hyperlink ref="A178" r:id="rId467" xr:uid="{F08C1545-85F6-FD4A-8FC5-C0D174BFCBA9}"/>
    <hyperlink ref="A179" r:id="rId468" xr:uid="{82EB1DBA-8863-F545-9131-E307D47162DB}"/>
    <hyperlink ref="A182" r:id="rId469" xr:uid="{A6DE43CB-B4D3-6C4C-8CA1-3BE03B726850}"/>
    <hyperlink ref="A183" r:id="rId470" xr:uid="{67262644-1BCD-AA46-A661-CF480F901E93}"/>
    <hyperlink ref="A184" r:id="rId471" xr:uid="{1AEAFED6-AD5C-4145-A424-CCE15B4233FC}"/>
    <hyperlink ref="A185" r:id="rId472" xr:uid="{C79AB1BE-B036-574B-BBF8-E504B7935B4F}"/>
    <hyperlink ref="A186" r:id="rId473" xr:uid="{1EA462F0-2813-1E47-B9C4-234409530325}"/>
    <hyperlink ref="A187" r:id="rId474" xr:uid="{7679AF6B-24B4-384E-9573-03ECFA1EE643}"/>
    <hyperlink ref="A188" r:id="rId475" xr:uid="{69494E94-FD55-1C4C-BCD0-73CDC005D07B}"/>
    <hyperlink ref="A176" r:id="rId476" xr:uid="{78C05C5C-FBFA-0741-96BE-0C9C216B5109}"/>
    <hyperlink ref="A50" r:id="rId477" xr:uid="{B87C9299-78BE-514D-A94D-566A0CEC9DE0}"/>
    <hyperlink ref="A127" r:id="rId478" location="Independence" display="MLW_1963_UK" xr:uid="{0D7FB8F3-58DD-8843-B02F-E941B27F4815}"/>
    <hyperlink ref="A126" r:id="rId479" location="Independence" xr:uid="{1BC68C2F-7E18-CE4E-A422-7FAEFC3BB997}"/>
    <hyperlink ref="A162" r:id="rId480" xr:uid="{E560E5B1-1FB6-9142-8270-3962ED70E5A9}"/>
    <hyperlink ref="A163" r:id="rId481" display="WES_1884_SPA" xr:uid="{ABFE9A66-08F5-E043-924F-65F21679AF27}"/>
  </hyperlinks>
  <pageMargins left="0.7" right="0.7" top="0.75" bottom="0.75" header="0.3" footer="0.3"/>
  <pageSetup orientation="portrait" horizontalDpi="0" verticalDpi="0"/>
  <tableParts count="1">
    <tablePart r:id="rId48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28ECF-FFA0-6B48-B7A7-CC0047DAEEEE}">
  <sheetPr codeName="Sheet3"/>
  <dimension ref="A1:H613"/>
  <sheetViews>
    <sheetView showZeros="0" zoomScale="140" zoomScaleNormal="14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F231" sqref="A1:F231"/>
    </sheetView>
  </sheetViews>
  <sheetFormatPr baseColWidth="10" defaultRowHeight="16" x14ac:dyDescent="0.2"/>
  <cols>
    <col min="1" max="1" width="16.5" style="25" bestFit="1" customWidth="1"/>
    <col min="2" max="3" width="10.5" style="25" bestFit="1" customWidth="1"/>
    <col min="4" max="4" width="30.83203125" style="25" bestFit="1" customWidth="1"/>
    <col min="5" max="6" width="14" style="25" bestFit="1" customWidth="1"/>
    <col min="7" max="7" width="27" style="25" bestFit="1" customWidth="1"/>
    <col min="8" max="16384" width="10.83203125" style="25"/>
  </cols>
  <sheetData>
    <row r="1" spans="1:8" x14ac:dyDescent="0.2">
      <c r="A1" s="14" t="s">
        <v>666</v>
      </c>
      <c r="B1" s="14" t="s">
        <v>611</v>
      </c>
      <c r="C1" s="18" t="s">
        <v>612</v>
      </c>
      <c r="D1" s="18" t="s">
        <v>188</v>
      </c>
      <c r="E1" s="18" t="s">
        <v>1254</v>
      </c>
      <c r="F1" s="18" t="s">
        <v>1275</v>
      </c>
      <c r="G1" s="18" t="s">
        <v>1256</v>
      </c>
      <c r="H1" s="18" t="s">
        <v>1257</v>
      </c>
    </row>
    <row r="2" spans="1:8" x14ac:dyDescent="0.2">
      <c r="A2" s="15" t="s">
        <v>781</v>
      </c>
      <c r="B2" s="15">
        <v>19770627</v>
      </c>
      <c r="C2" s="15">
        <v>20261231</v>
      </c>
      <c r="D2" s="15" t="s">
        <v>42</v>
      </c>
      <c r="E2" s="33">
        <f>11+36/60</f>
        <v>11.6</v>
      </c>
      <c r="F2" s="33">
        <f>43+10/60</f>
        <v>43.166666666666664</v>
      </c>
      <c r="G2" s="22" t="s">
        <v>1253</v>
      </c>
      <c r="H2" s="19" t="str">
        <f>VLOOKUP( $A2, Sovereignty!$A$2:$L$510, 12, 0 )</f>
        <v>x</v>
      </c>
    </row>
    <row r="3" spans="1:8" x14ac:dyDescent="0.2">
      <c r="A3" s="35" t="s">
        <v>1247</v>
      </c>
      <c r="B3" s="15">
        <v>19670705</v>
      </c>
      <c r="C3" s="15">
        <v>19770627</v>
      </c>
      <c r="D3" s="15" t="s">
        <v>42</v>
      </c>
      <c r="E3" s="33">
        <f>11+36/60</f>
        <v>11.6</v>
      </c>
      <c r="F3" s="33">
        <f>43+10/60</f>
        <v>43.166666666666664</v>
      </c>
      <c r="G3" s="22" t="s">
        <v>1253</v>
      </c>
      <c r="H3" s="19" t="str">
        <f>VLOOKUP( $A3, Sovereignty!$A$2:$L$510, 12, 0 )</f>
        <v>x</v>
      </c>
    </row>
    <row r="4" spans="1:8" x14ac:dyDescent="0.2">
      <c r="A4" s="35" t="s">
        <v>1247</v>
      </c>
      <c r="B4" s="15">
        <v>18960520</v>
      </c>
      <c r="C4" s="15">
        <v>19670705</v>
      </c>
      <c r="D4" s="15" t="s">
        <v>42</v>
      </c>
      <c r="E4" s="33">
        <f>11+36/60</f>
        <v>11.6</v>
      </c>
      <c r="F4" s="33">
        <f>43+10/60</f>
        <v>43.166666666666664</v>
      </c>
      <c r="G4" s="22" t="s">
        <v>1253</v>
      </c>
      <c r="H4" s="19" t="str">
        <f>VLOOKUP( $A4, Sovereignty!$A$2:$L$510, 12, 0 )</f>
        <v>x</v>
      </c>
    </row>
    <row r="5" spans="1:8" x14ac:dyDescent="0.2">
      <c r="A5" s="29" t="s">
        <v>1247</v>
      </c>
      <c r="B5" s="15">
        <v>18620311</v>
      </c>
      <c r="C5" s="15">
        <v>18960520</v>
      </c>
      <c r="D5" s="15" t="s">
        <v>1251</v>
      </c>
      <c r="E5" s="33">
        <f>11+58/60</f>
        <v>11.966666666666667</v>
      </c>
      <c r="F5" s="33">
        <f>43+17/60</f>
        <v>43.283333333333331</v>
      </c>
      <c r="G5" s="22" t="s">
        <v>1255</v>
      </c>
      <c r="H5" s="19" t="str">
        <f>VLOOKUP( $A5, Sovereignty!$A$2:$L$510, 12, 0 )</f>
        <v>x</v>
      </c>
    </row>
    <row r="6" spans="1:8" x14ac:dyDescent="0.2">
      <c r="A6" s="15" t="s">
        <v>909</v>
      </c>
      <c r="B6" s="15">
        <v>19600626</v>
      </c>
      <c r="C6" s="15">
        <v>20261231</v>
      </c>
      <c r="D6" s="15" t="s">
        <v>361</v>
      </c>
      <c r="E6" s="33">
        <f>2+2/60+21/3600</f>
        <v>2.0391666666666666</v>
      </c>
      <c r="F6" s="33">
        <f>45+20/60+31/3600</f>
        <v>45.341944444444444</v>
      </c>
      <c r="G6" s="22" t="s">
        <v>1261</v>
      </c>
      <c r="H6" s="19" t="str">
        <f>VLOOKUP( $A6, Sovereignty!$A$2:$L$510, 12, 0 )</f>
        <v>x</v>
      </c>
    </row>
    <row r="7" spans="1:8" x14ac:dyDescent="0.2">
      <c r="A7" s="15" t="s">
        <v>1110</v>
      </c>
      <c r="B7" s="15">
        <v>18840101</v>
      </c>
      <c r="C7" s="15">
        <v>19410315</v>
      </c>
      <c r="D7" s="15" t="s">
        <v>1108</v>
      </c>
      <c r="E7" s="33">
        <f>10+26/60+8/3600</f>
        <v>10.435555555555556</v>
      </c>
      <c r="F7" s="33">
        <f>45+59/3600</f>
        <v>45.016388888888891</v>
      </c>
      <c r="G7" s="22" t="s">
        <v>1266</v>
      </c>
      <c r="H7" s="19" t="str">
        <f>VLOOKUP( $A7, Sovereignty!$A$2:$L$510, 12, 0 )</f>
        <v>x</v>
      </c>
    </row>
    <row r="8" spans="1:8" x14ac:dyDescent="0.2">
      <c r="A8" s="15" t="s">
        <v>1110</v>
      </c>
      <c r="B8" s="15">
        <v>19410315</v>
      </c>
      <c r="C8" s="15">
        <v>19600626</v>
      </c>
      <c r="D8" s="15" t="s">
        <v>1267</v>
      </c>
      <c r="E8" s="33">
        <f>9+33/60+40/3600</f>
        <v>9.5611111111111118</v>
      </c>
      <c r="F8" s="33">
        <f>44+4/60</f>
        <v>44.06666666666667</v>
      </c>
      <c r="G8" s="22" t="s">
        <v>1268</v>
      </c>
      <c r="H8" s="19" t="str">
        <f>VLOOKUP( $A8, Sovereignty!$A$2:$L$510, 12, 0 )</f>
        <v>x</v>
      </c>
    </row>
    <row r="9" spans="1:8" x14ac:dyDescent="0.2">
      <c r="A9" s="15" t="s">
        <v>1264</v>
      </c>
      <c r="B9" s="15">
        <v>19500401</v>
      </c>
      <c r="C9" s="15">
        <v>19600701</v>
      </c>
      <c r="D9" s="15" t="s">
        <v>361</v>
      </c>
      <c r="E9" s="33">
        <f>2+2/60+21/3600</f>
        <v>2.0391666666666666</v>
      </c>
      <c r="F9" s="33">
        <f>45+20/60+31/3600</f>
        <v>45.341944444444444</v>
      </c>
      <c r="G9" s="22" t="s">
        <v>1261</v>
      </c>
      <c r="H9" s="19" t="str">
        <f>VLOOKUP( $A9, Sovereignty!$A$2:$L$510, 12, 0 )</f>
        <v>x</v>
      </c>
    </row>
    <row r="10" spans="1:8" x14ac:dyDescent="0.2">
      <c r="A10" s="15" t="s">
        <v>1109</v>
      </c>
      <c r="B10" s="15">
        <v>19410225</v>
      </c>
      <c r="C10" s="15">
        <v>19500401</v>
      </c>
      <c r="D10" s="15" t="s">
        <v>361</v>
      </c>
      <c r="E10" s="33">
        <f>2+2/60+21/3600</f>
        <v>2.0391666666666666</v>
      </c>
      <c r="F10" s="33">
        <f>45+20/60+31/3600</f>
        <v>45.341944444444444</v>
      </c>
      <c r="G10" s="22" t="s">
        <v>1261</v>
      </c>
      <c r="H10" s="19" t="str">
        <f>VLOOKUP( $A10, Sovereignty!$A$2:$L$510, 12, 0 )</f>
        <v>x</v>
      </c>
    </row>
    <row r="11" spans="1:8" x14ac:dyDescent="0.2">
      <c r="A11" s="15" t="s">
        <v>1088</v>
      </c>
      <c r="B11" s="15">
        <v>19360509</v>
      </c>
      <c r="C11" s="15">
        <v>19411127</v>
      </c>
      <c r="D11" s="15" t="s">
        <v>254</v>
      </c>
      <c r="E11" s="33">
        <f>9+1/60+48/3600</f>
        <v>9.0300000000000011</v>
      </c>
      <c r="F11" s="33">
        <f>38+44/60+24/3600</f>
        <v>38.74</v>
      </c>
      <c r="G11" s="22" t="s">
        <v>1262</v>
      </c>
      <c r="H11" s="19" t="str">
        <f>VLOOKUP( $A11, Sovereignty!$A$2:$L$510, 12, 0 )</f>
        <v>x</v>
      </c>
    </row>
    <row r="12" spans="1:8" x14ac:dyDescent="0.2">
      <c r="A12" s="15" t="s">
        <v>1102</v>
      </c>
      <c r="B12" s="15">
        <v>18890208</v>
      </c>
      <c r="C12" s="15">
        <v>19360601</v>
      </c>
      <c r="D12" s="15" t="s">
        <v>361</v>
      </c>
      <c r="E12" s="33">
        <f>2+2/60+21/3600</f>
        <v>2.0391666666666666</v>
      </c>
      <c r="F12" s="33">
        <f>45+20/60+31/3600</f>
        <v>45.341944444444444</v>
      </c>
      <c r="G12" s="22" t="s">
        <v>1261</v>
      </c>
      <c r="H12" s="19" t="str">
        <f>VLOOKUP( $A12, Sovereignty!$A$2:$L$510, 12, 0 )</f>
        <v>x</v>
      </c>
    </row>
    <row r="13" spans="1:8" x14ac:dyDescent="0.2">
      <c r="A13" s="15" t="s">
        <v>1082</v>
      </c>
      <c r="B13" s="15">
        <v>19930524</v>
      </c>
      <c r="C13" s="15">
        <v>20261231</v>
      </c>
      <c r="D13" s="15" t="s">
        <v>251</v>
      </c>
      <c r="E13" s="33">
        <f>15+20/60+9/3600</f>
        <v>15.335833333333333</v>
      </c>
      <c r="F13" s="33">
        <f>38+56/60+28/3600</f>
        <v>38.941111111111105</v>
      </c>
      <c r="G13" s="22" t="s">
        <v>1269</v>
      </c>
      <c r="H13" s="19" t="str">
        <f>VLOOKUP( $A13, Sovereignty!$A$2:$L$510, 12, 0 )</f>
        <v>x</v>
      </c>
    </row>
    <row r="14" spans="1:8" x14ac:dyDescent="0.2">
      <c r="A14" s="15" t="s">
        <v>2449</v>
      </c>
      <c r="B14" s="15">
        <v>19520915</v>
      </c>
      <c r="C14" s="15">
        <v>19621114</v>
      </c>
      <c r="D14" s="15" t="s">
        <v>251</v>
      </c>
      <c r="E14" s="33">
        <f>15+20/60+9/3600</f>
        <v>15.335833333333333</v>
      </c>
      <c r="F14" s="33">
        <f>38+56/60+28/3600</f>
        <v>38.941111111111105</v>
      </c>
      <c r="G14" s="22" t="s">
        <v>1269</v>
      </c>
      <c r="H14" s="19" t="str">
        <f>VLOOKUP( $A14, Sovereignty!$A$2:$L$510, 12, 0 )</f>
        <v>x</v>
      </c>
    </row>
    <row r="15" spans="1:8" x14ac:dyDescent="0.2">
      <c r="A15" s="15" t="s">
        <v>1089</v>
      </c>
      <c r="B15" s="15">
        <v>19411127</v>
      </c>
      <c r="C15" s="15">
        <v>19520915</v>
      </c>
      <c r="D15" s="15" t="s">
        <v>251</v>
      </c>
      <c r="E15" s="33">
        <f>15+20/60+9/3600</f>
        <v>15.335833333333333</v>
      </c>
      <c r="F15" s="33">
        <f>38+56/60+28/3600</f>
        <v>38.941111111111105</v>
      </c>
      <c r="G15" s="22" t="s">
        <v>1269</v>
      </c>
      <c r="H15" s="19" t="str">
        <f>VLOOKUP( $A15, Sovereignty!$A$2:$L$510, 12, 0 )</f>
        <v>x</v>
      </c>
    </row>
    <row r="16" spans="1:8" x14ac:dyDescent="0.2">
      <c r="A16" s="15" t="s">
        <v>1087</v>
      </c>
      <c r="B16" s="15">
        <v>18820705</v>
      </c>
      <c r="C16" s="15">
        <v>19360601</v>
      </c>
      <c r="D16" s="15" t="s">
        <v>251</v>
      </c>
      <c r="E16" s="33">
        <f>15+20/60+9/3600</f>
        <v>15.335833333333333</v>
      </c>
      <c r="F16" s="33">
        <f>38+56/60+28/3600</f>
        <v>38.941111111111105</v>
      </c>
      <c r="G16" s="22" t="s">
        <v>1269</v>
      </c>
      <c r="H16" s="19" t="str">
        <f>VLOOKUP( $A16, Sovereignty!$A$2:$L$510, 12, 0 )</f>
        <v>x</v>
      </c>
    </row>
    <row r="17" spans="1:8" x14ac:dyDescent="0.2">
      <c r="A17" s="15" t="s">
        <v>1094</v>
      </c>
      <c r="B17" s="15">
        <v>19411127</v>
      </c>
      <c r="C17" s="15">
        <v>20261231</v>
      </c>
      <c r="D17" s="15" t="s">
        <v>254</v>
      </c>
      <c r="E17" s="33">
        <f>9+1/60+48/3600</f>
        <v>9.0300000000000011</v>
      </c>
      <c r="F17" s="33">
        <f>38+44/60+24/3600</f>
        <v>38.74</v>
      </c>
      <c r="G17" s="22" t="s">
        <v>1262</v>
      </c>
      <c r="H17" s="19" t="str">
        <f>VLOOKUP( $A17, Sovereignty!$A$2:$L$510, 12, 0 )</f>
        <v>x</v>
      </c>
    </row>
    <row r="18" spans="1:8" x14ac:dyDescent="0.2">
      <c r="A18" s="15" t="s">
        <v>1095</v>
      </c>
      <c r="B18" s="15">
        <v>18890101</v>
      </c>
      <c r="C18" s="15">
        <v>19360509</v>
      </c>
      <c r="D18" s="15" t="s">
        <v>254</v>
      </c>
      <c r="E18" s="33">
        <f>9+1/60+48/3600</f>
        <v>9.0300000000000011</v>
      </c>
      <c r="F18" s="33">
        <f>38+44/60+24/3600</f>
        <v>38.74</v>
      </c>
      <c r="G18" s="22" t="s">
        <v>1262</v>
      </c>
      <c r="H18" s="19" t="str">
        <f>VLOOKUP( $A18, Sovereignty!$A$2:$L$510, 12, 0 )</f>
        <v>x</v>
      </c>
    </row>
    <row r="19" spans="1:8" x14ac:dyDescent="0.2">
      <c r="A19" s="15" t="s">
        <v>1095</v>
      </c>
      <c r="B19" s="15">
        <v>18810101</v>
      </c>
      <c r="C19" s="15">
        <v>18890101</v>
      </c>
      <c r="D19" s="15" t="s">
        <v>1092</v>
      </c>
      <c r="E19" s="33">
        <f>13+29/60+49/3600</f>
        <v>13.496944444444443</v>
      </c>
      <c r="F19" s="33">
        <f>39+28/60+37/3600</f>
        <v>39.476944444444449</v>
      </c>
      <c r="G19" s="22" t="s">
        <v>1274</v>
      </c>
      <c r="H19" s="19" t="str">
        <f>VLOOKUP( $A19, Sovereignty!$A$2:$L$510, 12, 0 )</f>
        <v>x</v>
      </c>
    </row>
    <row r="20" spans="1:8" x14ac:dyDescent="0.2">
      <c r="A20" s="15" t="s">
        <v>1095</v>
      </c>
      <c r="B20" s="15">
        <v>18550211</v>
      </c>
      <c r="C20" s="15">
        <v>18810101</v>
      </c>
      <c r="D20" s="15" t="s">
        <v>1091</v>
      </c>
      <c r="E20" s="33">
        <f>11+51/60</f>
        <v>11.85</v>
      </c>
      <c r="F20" s="33">
        <f>38+1/60</f>
        <v>38.016666666666666</v>
      </c>
      <c r="G20" s="22" t="s">
        <v>1273</v>
      </c>
      <c r="H20" s="19" t="str">
        <f>VLOOKUP( $A20, Sovereignty!$A$2:$L$510, 12, 0 )</f>
        <v>x</v>
      </c>
    </row>
    <row r="21" spans="1:8" x14ac:dyDescent="0.2">
      <c r="A21" s="15" t="s">
        <v>898</v>
      </c>
      <c r="B21" s="15">
        <v>19600815</v>
      </c>
      <c r="C21" s="15">
        <v>20261231</v>
      </c>
      <c r="D21" s="15" t="s">
        <v>345</v>
      </c>
      <c r="E21" s="33">
        <f>-4-16/60</f>
        <v>-4.2666666666666666</v>
      </c>
      <c r="F21" s="33">
        <f>15+16/60</f>
        <v>15.266666666666667</v>
      </c>
      <c r="G21" s="22" t="s">
        <v>1276</v>
      </c>
      <c r="H21" s="19" t="str">
        <f>VLOOKUP( $A21, Sovereignty!$A$2:$L$510, 12, 0 )</f>
        <v>x</v>
      </c>
    </row>
    <row r="22" spans="1:8" x14ac:dyDescent="0.2">
      <c r="A22" s="15" t="s">
        <v>899</v>
      </c>
      <c r="B22" s="15">
        <v>19581128</v>
      </c>
      <c r="C22" s="15">
        <v>19600815</v>
      </c>
      <c r="D22" s="15" t="s">
        <v>345</v>
      </c>
      <c r="E22" s="33">
        <f>-4-16/60</f>
        <v>-4.2666666666666666</v>
      </c>
      <c r="F22" s="33">
        <f>15+16/60</f>
        <v>15.266666666666667</v>
      </c>
      <c r="G22" s="22" t="s">
        <v>1276</v>
      </c>
      <c r="H22" s="19" t="str">
        <f>VLOOKUP( $A22, Sovereignty!$A$2:$L$510, 12, 0 )</f>
        <v>x</v>
      </c>
    </row>
    <row r="23" spans="1:8" x14ac:dyDescent="0.2">
      <c r="A23" s="15" t="s">
        <v>895</v>
      </c>
      <c r="B23" s="15">
        <v>19100115</v>
      </c>
      <c r="C23" s="15">
        <v>19581128</v>
      </c>
      <c r="D23" s="15" t="s">
        <v>345</v>
      </c>
      <c r="E23" s="33">
        <f>-4-16/60</f>
        <v>-4.2666666666666666</v>
      </c>
      <c r="F23" s="33">
        <f>15+16/60</f>
        <v>15.266666666666667</v>
      </c>
      <c r="G23" s="22" t="s">
        <v>1276</v>
      </c>
      <c r="H23" s="19" t="str">
        <f>VLOOKUP( $A23, Sovereignty!$A$2:$L$510, 12, 0 )</f>
        <v>x</v>
      </c>
    </row>
    <row r="24" spans="1:8" x14ac:dyDescent="0.2">
      <c r="A24" s="15" t="s">
        <v>900</v>
      </c>
      <c r="B24" s="15">
        <v>18821130</v>
      </c>
      <c r="C24" s="15">
        <v>19100115</v>
      </c>
      <c r="D24" s="15" t="s">
        <v>345</v>
      </c>
      <c r="E24" s="33">
        <f>-4-16/60</f>
        <v>-4.2666666666666666</v>
      </c>
      <c r="F24" s="33">
        <f>15+16/60</f>
        <v>15.266666666666667</v>
      </c>
      <c r="G24" s="22" t="s">
        <v>1276</v>
      </c>
      <c r="H24" s="19" t="str">
        <f>VLOOKUP( $A24, Sovereignty!$A$2:$L$510, 12, 0 )</f>
        <v>x</v>
      </c>
    </row>
    <row r="25" spans="1:8" x14ac:dyDescent="0.2">
      <c r="A25" s="15" t="s">
        <v>1042</v>
      </c>
      <c r="B25" s="15">
        <v>19600817</v>
      </c>
      <c r="C25" s="15">
        <v>20261231</v>
      </c>
      <c r="D25" s="15" t="s">
        <v>259</v>
      </c>
      <c r="E25" s="33">
        <f>24/60+38/3600</f>
        <v>0.41055555555555556</v>
      </c>
      <c r="F25" s="33">
        <f>9+26/60+25/3600</f>
        <v>9.4402777777777782</v>
      </c>
      <c r="G25" s="25" t="s">
        <v>1277</v>
      </c>
      <c r="H25" s="19" t="str">
        <f>VLOOKUP( $A25, Sovereignty!$A$2:$L$510, 12, 0 )</f>
        <v>x</v>
      </c>
    </row>
    <row r="26" spans="1:8" x14ac:dyDescent="0.2">
      <c r="A26" s="15" t="s">
        <v>1043</v>
      </c>
      <c r="B26" s="15">
        <v>19581128</v>
      </c>
      <c r="C26" s="15">
        <v>19600817</v>
      </c>
      <c r="D26" s="15" t="s">
        <v>259</v>
      </c>
      <c r="E26" s="33">
        <f>24/60+38/3600</f>
        <v>0.41055555555555556</v>
      </c>
      <c r="F26" s="33">
        <f>9+26/60+25/3600</f>
        <v>9.4402777777777782</v>
      </c>
      <c r="G26" s="25" t="s">
        <v>1277</v>
      </c>
      <c r="H26" s="19" t="str">
        <f>VLOOKUP( $A26, Sovereignty!$A$2:$L$510, 12, 0 )</f>
        <v>x</v>
      </c>
    </row>
    <row r="27" spans="1:8" x14ac:dyDescent="0.2">
      <c r="A27" s="15" t="s">
        <v>1045</v>
      </c>
      <c r="B27" s="15">
        <v>18880101</v>
      </c>
      <c r="C27" s="15">
        <v>19100115</v>
      </c>
      <c r="D27" s="15" t="s">
        <v>259</v>
      </c>
      <c r="E27" s="33">
        <f>24/60+38/3600</f>
        <v>0.41055555555555556</v>
      </c>
      <c r="F27" s="33">
        <f>9+26/60+25/3600</f>
        <v>9.4402777777777782</v>
      </c>
      <c r="G27" s="25" t="s">
        <v>1277</v>
      </c>
      <c r="H27" s="19" t="str">
        <f>VLOOKUP( $A27, Sovereignty!$A$2:$L$510, 12, 0 )</f>
        <v>x</v>
      </c>
    </row>
    <row r="28" spans="1:8" x14ac:dyDescent="0.2">
      <c r="A28" s="15" t="s">
        <v>1280</v>
      </c>
      <c r="B28" s="15">
        <v>19600813</v>
      </c>
      <c r="C28" s="15">
        <v>20261231</v>
      </c>
      <c r="D28" s="15" t="s">
        <v>227</v>
      </c>
      <c r="E28" s="33">
        <f>4+22/60+24/3600</f>
        <v>4.3733333333333331</v>
      </c>
      <c r="F28" s="33">
        <f>18+33/60+46/3600</f>
        <v>18.562777777777779</v>
      </c>
      <c r="G28" s="25" t="s">
        <v>1279</v>
      </c>
      <c r="H28" s="19" t="str">
        <f>VLOOKUP( $A28, Sovereignty!$A$2:$L$510, 12, 0 )</f>
        <v>x</v>
      </c>
    </row>
    <row r="29" spans="1:8" x14ac:dyDescent="0.2">
      <c r="A29" s="15" t="s">
        <v>1165</v>
      </c>
      <c r="B29" s="15">
        <v>19581201</v>
      </c>
      <c r="C29" s="15">
        <v>19600813</v>
      </c>
      <c r="D29" s="15" t="s">
        <v>227</v>
      </c>
      <c r="E29" s="33">
        <f>4+22/60+24/3600</f>
        <v>4.3733333333333331</v>
      </c>
      <c r="F29" s="33">
        <f>18+33/60+46/3600</f>
        <v>18.562777777777779</v>
      </c>
      <c r="G29" s="25" t="s">
        <v>1279</v>
      </c>
      <c r="H29" s="19" t="str">
        <f>VLOOKUP( $A29, Sovereignty!$A$2:$L$510, 12, 0 )</f>
        <v>x</v>
      </c>
    </row>
    <row r="30" spans="1:8" x14ac:dyDescent="0.2">
      <c r="A30" s="15" t="s">
        <v>1164</v>
      </c>
      <c r="B30" s="15">
        <v>19061211</v>
      </c>
      <c r="C30" s="15">
        <v>19100115</v>
      </c>
      <c r="D30" s="15" t="s">
        <v>227</v>
      </c>
      <c r="E30" s="33">
        <f>4+22/60+24/3600</f>
        <v>4.3733333333333331</v>
      </c>
      <c r="F30" s="33">
        <f>18+33/60+46/3600</f>
        <v>18.562777777777779</v>
      </c>
      <c r="G30" s="25" t="s">
        <v>1279</v>
      </c>
      <c r="H30" s="19" t="str">
        <f>VLOOKUP( $A30, Sovereignty!$A$2:$L$510, 12, 0 )</f>
        <v>x</v>
      </c>
    </row>
    <row r="31" spans="1:8" x14ac:dyDescent="0.2">
      <c r="A31" s="15" t="s">
        <v>1164</v>
      </c>
      <c r="B31" s="15">
        <v>19060210</v>
      </c>
      <c r="C31" s="15">
        <v>19061211</v>
      </c>
      <c r="D31" s="15" t="s">
        <v>1281</v>
      </c>
      <c r="E31" s="33">
        <f>5+1/60+29.7/3600</f>
        <v>5.0249166666666669</v>
      </c>
      <c r="F31" s="33">
        <f>19+15/60+30.9/3600</f>
        <v>19.258583333333334</v>
      </c>
      <c r="G31" s="25" t="s">
        <v>1282</v>
      </c>
      <c r="H31" s="19" t="str">
        <f>VLOOKUP( $A31, Sovereignty!$A$2:$L$510, 12, 0 )</f>
        <v>x</v>
      </c>
    </row>
    <row r="32" spans="1:8" x14ac:dyDescent="0.2">
      <c r="A32" s="15" t="s">
        <v>1164</v>
      </c>
      <c r="B32" s="15">
        <v>19031229</v>
      </c>
      <c r="C32" s="15">
        <v>19060210</v>
      </c>
      <c r="D32" s="15" t="s">
        <v>1163</v>
      </c>
      <c r="E32" s="33">
        <f>4.135</f>
        <v>4.1349999999999998</v>
      </c>
      <c r="F32" s="33">
        <f>22.44</f>
        <v>22.44</v>
      </c>
      <c r="G32" s="25" t="s">
        <v>1283</v>
      </c>
      <c r="H32" s="19" t="str">
        <f>VLOOKUP( $A32, Sovereignty!$A$2:$L$510, 12, 0 )</f>
        <v>x</v>
      </c>
    </row>
    <row r="33" spans="1:8" x14ac:dyDescent="0.2">
      <c r="A33" s="15" t="s">
        <v>925</v>
      </c>
      <c r="B33" s="15">
        <v>19730406</v>
      </c>
      <c r="C33" s="15">
        <v>20261231</v>
      </c>
      <c r="D33" s="15" t="s">
        <v>228</v>
      </c>
      <c r="E33" s="33">
        <f>12+6/60+19/3600</f>
        <v>12.105277777777777</v>
      </c>
      <c r="F33" s="33">
        <f>15+2/60+41/3600</f>
        <v>15.044722222222221</v>
      </c>
      <c r="G33" s="25" t="s">
        <v>1287</v>
      </c>
      <c r="H33" s="19" t="str">
        <f>VLOOKUP( $A33, Sovereignty!$A$2:$L$510, 12, 0 )</f>
        <v>x</v>
      </c>
    </row>
    <row r="34" spans="1:8" x14ac:dyDescent="0.2">
      <c r="A34" s="15" t="s">
        <v>925</v>
      </c>
      <c r="B34" s="15">
        <v>19600811</v>
      </c>
      <c r="C34" s="15">
        <v>19730406</v>
      </c>
      <c r="D34" s="15" t="s">
        <v>1289</v>
      </c>
      <c r="E34" s="33">
        <f>12+6/60+19/3600</f>
        <v>12.105277777777777</v>
      </c>
      <c r="F34" s="33">
        <f>15+2/60+41/3600</f>
        <v>15.044722222222221</v>
      </c>
      <c r="G34" s="25" t="s">
        <v>1287</v>
      </c>
      <c r="H34" s="19" t="str">
        <f>VLOOKUP( $A34, Sovereignty!$A$2:$L$510, 12, 0 )</f>
        <v>x</v>
      </c>
    </row>
    <row r="35" spans="1:8" x14ac:dyDescent="0.2">
      <c r="A35" s="15" t="s">
        <v>1285</v>
      </c>
      <c r="B35" s="15">
        <v>19000905</v>
      </c>
      <c r="C35" s="15">
        <v>19100115</v>
      </c>
      <c r="D35" s="15" t="s">
        <v>1289</v>
      </c>
      <c r="E35" s="33">
        <f>12+6/60+19/3600</f>
        <v>12.105277777777777</v>
      </c>
      <c r="F35" s="33">
        <f>15+2/60+41/3600</f>
        <v>15.044722222222221</v>
      </c>
      <c r="G35" s="25" t="s">
        <v>1287</v>
      </c>
      <c r="H35" s="19" t="str">
        <f>VLOOKUP( $A35, Sovereignty!$A$2:$L$510, 12, 0 )</f>
        <v>x</v>
      </c>
    </row>
    <row r="36" spans="1:8" x14ac:dyDescent="0.2">
      <c r="A36" s="15" t="s">
        <v>1346</v>
      </c>
      <c r="B36" s="15">
        <v>19581128</v>
      </c>
      <c r="C36" s="15">
        <v>19600811</v>
      </c>
      <c r="D36" s="15" t="s">
        <v>1289</v>
      </c>
      <c r="E36" s="33">
        <f>12+6/60+19/3600</f>
        <v>12.105277777777777</v>
      </c>
      <c r="F36" s="33">
        <f>15+2/60+41/3600</f>
        <v>15.044722222222221</v>
      </c>
      <c r="G36" s="25" t="s">
        <v>1287</v>
      </c>
      <c r="H36" s="19" t="str">
        <f>VLOOKUP( $A36, Sovereignty!$A$2:$L$510, 12, 0 )</f>
        <v>x</v>
      </c>
    </row>
    <row r="37" spans="1:8" x14ac:dyDescent="0.2">
      <c r="A37" s="15" t="s">
        <v>901</v>
      </c>
      <c r="B37" s="15">
        <v>19750705</v>
      </c>
      <c r="C37" s="15">
        <v>20261231</v>
      </c>
      <c r="D37" s="15" t="s">
        <v>223</v>
      </c>
      <c r="E37" s="33">
        <f>14.918</f>
        <v>14.917999999999999</v>
      </c>
      <c r="F37" s="33">
        <f>-23.509</f>
        <v>-23.509</v>
      </c>
      <c r="G37" s="25" t="s">
        <v>1290</v>
      </c>
      <c r="H37" s="19" t="str">
        <f>VLOOKUP( $A37, Sovereignty!$A$2:$L$510, 12, 0 )</f>
        <v>x</v>
      </c>
    </row>
    <row r="38" spans="1:8" x14ac:dyDescent="0.2">
      <c r="A38" s="15" t="s">
        <v>1022</v>
      </c>
      <c r="B38" s="15">
        <v>14620101</v>
      </c>
      <c r="C38" s="15">
        <v>19750705</v>
      </c>
      <c r="D38" s="15" t="s">
        <v>223</v>
      </c>
      <c r="E38" s="33">
        <f>14.918</f>
        <v>14.917999999999999</v>
      </c>
      <c r="F38" s="33">
        <f>-23.509</f>
        <v>-23.509</v>
      </c>
      <c r="G38" s="25" t="s">
        <v>1290</v>
      </c>
      <c r="H38" s="19" t="str">
        <f>VLOOKUP( $A38, Sovereignty!$A$2:$L$510, 12, 0 )</f>
        <v>x</v>
      </c>
    </row>
    <row r="39" spans="1:8" x14ac:dyDescent="0.2">
      <c r="A39" s="15" t="s">
        <v>903</v>
      </c>
      <c r="B39" s="15">
        <v>19601128</v>
      </c>
      <c r="C39" s="15">
        <v>20261231</v>
      </c>
      <c r="D39" s="15" t="s">
        <v>1343</v>
      </c>
      <c r="E39" s="33">
        <f>18+5/60+7/3600</f>
        <v>18.085277777777776</v>
      </c>
      <c r="F39" s="33">
        <f>-15-58/60-21/3600</f>
        <v>-15.9725</v>
      </c>
      <c r="G39" s="25" t="s">
        <v>1292</v>
      </c>
      <c r="H39" s="19">
        <f>VLOOKUP( $A39, Sovereignty!$A$2:$L$510, 12, 0 )</f>
        <v>0</v>
      </c>
    </row>
    <row r="40" spans="1:8" x14ac:dyDescent="0.2">
      <c r="A40" s="15" t="s">
        <v>1028</v>
      </c>
      <c r="B40" s="15">
        <v>19581128</v>
      </c>
      <c r="C40" s="15">
        <v>19601128</v>
      </c>
      <c r="D40" s="15" t="s">
        <v>1343</v>
      </c>
      <c r="E40" s="33">
        <f>18+5/60+7/3600</f>
        <v>18.085277777777776</v>
      </c>
      <c r="F40" s="33">
        <f>-15-58/60-21/3600</f>
        <v>-15.9725</v>
      </c>
      <c r="G40" s="25" t="s">
        <v>1292</v>
      </c>
      <c r="H40" s="19">
        <f>VLOOKUP( $A40, Sovereignty!$A$2:$L$510, 12, 0 )</f>
        <v>0</v>
      </c>
    </row>
    <row r="41" spans="1:8" x14ac:dyDescent="0.2">
      <c r="A41" s="15" t="s">
        <v>1030</v>
      </c>
      <c r="B41" s="15">
        <v>19020101</v>
      </c>
      <c r="C41" s="15">
        <v>19581218</v>
      </c>
      <c r="D41" s="15" t="s">
        <v>1343</v>
      </c>
      <c r="E41" s="33">
        <f>18+5/60+7/3600</f>
        <v>18.085277777777776</v>
      </c>
      <c r="F41" s="33">
        <f>-15-58/60-21/3600</f>
        <v>-15.9725</v>
      </c>
      <c r="G41" s="25" t="s">
        <v>1292</v>
      </c>
      <c r="H41" s="19">
        <f>VLOOKUP( $A41, Sovereignty!$A$2:$L$510, 12, 0 )</f>
        <v>0</v>
      </c>
    </row>
    <row r="42" spans="1:8" x14ac:dyDescent="0.2">
      <c r="A42" s="15" t="s">
        <v>1030</v>
      </c>
      <c r="B42" s="15">
        <v>18951027</v>
      </c>
      <c r="C42" s="15">
        <v>19020101</v>
      </c>
      <c r="D42" s="15" t="s">
        <v>1027</v>
      </c>
      <c r="E42" s="33">
        <f>16+2/60</f>
        <v>16.033333333333335</v>
      </c>
      <c r="F42" s="33">
        <f>-16-30/60</f>
        <v>-16.5</v>
      </c>
      <c r="G42" s="25" t="s">
        <v>1294</v>
      </c>
      <c r="H42" s="19">
        <f>VLOOKUP( $A42, Sovereignty!$A$2:$L$510, 12, 0 )</f>
        <v>0</v>
      </c>
    </row>
    <row r="43" spans="1:8" x14ac:dyDescent="0.2">
      <c r="A43" s="15" t="s">
        <v>1070</v>
      </c>
      <c r="B43" s="15">
        <v>19600620</v>
      </c>
      <c r="C43" s="15">
        <v>19600820</v>
      </c>
      <c r="D43" s="15" t="s">
        <v>355</v>
      </c>
      <c r="E43" s="33">
        <f>14+41/60+34/3600</f>
        <v>14.692777777777778</v>
      </c>
      <c r="F43" s="33">
        <f>-17-26/60-48/3600</f>
        <v>-17.446666666666665</v>
      </c>
      <c r="G43" s="25" t="s">
        <v>1295</v>
      </c>
      <c r="H43" s="19">
        <f>VLOOKUP( $A43, Sovereignty!$A$2:$L$510, 12, 0 )</f>
        <v>0</v>
      </c>
    </row>
    <row r="44" spans="1:8" x14ac:dyDescent="0.2">
      <c r="A44" s="15" t="s">
        <v>923</v>
      </c>
      <c r="B44" s="15">
        <v>19600820</v>
      </c>
      <c r="C44" s="15">
        <v>20261231</v>
      </c>
      <c r="D44" s="15" t="s">
        <v>355</v>
      </c>
      <c r="E44" s="33">
        <f>14+41/60+34/3600</f>
        <v>14.692777777777778</v>
      </c>
      <c r="F44" s="33">
        <f>-17-26/60-48/3600</f>
        <v>-17.446666666666665</v>
      </c>
      <c r="G44" s="25" t="s">
        <v>1295</v>
      </c>
      <c r="H44" s="19">
        <f>VLOOKUP( $A44, Sovereignty!$A$2:$L$510, 12, 0 )</f>
        <v>0</v>
      </c>
    </row>
    <row r="45" spans="1:8" x14ac:dyDescent="0.2">
      <c r="A45" s="15" t="s">
        <v>1187</v>
      </c>
      <c r="B45" s="15">
        <v>19581125</v>
      </c>
      <c r="C45" s="15">
        <v>19600620</v>
      </c>
      <c r="D45" s="15" t="s">
        <v>355</v>
      </c>
      <c r="E45" s="33">
        <f>14+41/60+34/3600</f>
        <v>14.692777777777778</v>
      </c>
      <c r="F45" s="33">
        <f>-17-26/60-48/3600</f>
        <v>-17.446666666666665</v>
      </c>
      <c r="G45" s="25" t="s">
        <v>1295</v>
      </c>
      <c r="H45" s="19">
        <f>VLOOKUP( $A45, Sovereignty!$A$2:$L$510, 12, 0 )</f>
        <v>0</v>
      </c>
    </row>
    <row r="46" spans="1:8" x14ac:dyDescent="0.2">
      <c r="A46" s="15" t="s">
        <v>934</v>
      </c>
      <c r="B46" s="15">
        <v>19730424</v>
      </c>
      <c r="C46" s="15">
        <v>20261231</v>
      </c>
      <c r="D46" s="15" t="s">
        <v>284</v>
      </c>
      <c r="E46" s="33">
        <f>13+27/60</f>
        <v>13.45</v>
      </c>
      <c r="F46" s="33">
        <f>-16-34/60-30/3600</f>
        <v>-16.574999999999999</v>
      </c>
      <c r="G46" s="25" t="s">
        <v>1297</v>
      </c>
      <c r="H46" s="19">
        <f>VLOOKUP( $A46, Sovereignty!$A$2:$L$510, 12, 0 )</f>
        <v>0</v>
      </c>
    </row>
    <row r="47" spans="1:8" x14ac:dyDescent="0.2">
      <c r="A47" s="15" t="s">
        <v>934</v>
      </c>
      <c r="B47" s="15">
        <v>19650218</v>
      </c>
      <c r="C47" s="15">
        <v>19730424</v>
      </c>
      <c r="D47" s="15" t="s">
        <v>1193</v>
      </c>
      <c r="E47" s="33">
        <f>13+27/60</f>
        <v>13.45</v>
      </c>
      <c r="F47" s="33">
        <f>-16-34/60-30/3600</f>
        <v>-16.574999999999999</v>
      </c>
      <c r="G47" s="25" t="s">
        <v>1297</v>
      </c>
      <c r="H47" s="19">
        <f>VLOOKUP( $A47, Sovereignty!$A$2:$L$510, 12, 0 )</f>
        <v>0</v>
      </c>
    </row>
    <row r="48" spans="1:8" x14ac:dyDescent="0.2">
      <c r="A48" s="15" t="s">
        <v>1194</v>
      </c>
      <c r="B48" s="15">
        <v>18161017</v>
      </c>
      <c r="C48" s="15">
        <v>19650218</v>
      </c>
      <c r="D48" s="15" t="s">
        <v>1193</v>
      </c>
      <c r="E48" s="33">
        <f>13+27/60</f>
        <v>13.45</v>
      </c>
      <c r="F48" s="33">
        <f>-16-34/60-30/3600</f>
        <v>-16.574999999999999</v>
      </c>
      <c r="G48" s="25" t="s">
        <v>1297</v>
      </c>
      <c r="H48" s="19">
        <f>VLOOKUP( $A48, Sovereignty!$A$2:$L$510, 12, 0 )</f>
        <v>0</v>
      </c>
    </row>
    <row r="49" spans="1:8" x14ac:dyDescent="0.2">
      <c r="A49" s="15" t="s">
        <v>915</v>
      </c>
      <c r="B49" s="15">
        <v>19581002</v>
      </c>
      <c r="C49" s="15">
        <v>20261231</v>
      </c>
      <c r="D49" s="15" t="s">
        <v>266</v>
      </c>
      <c r="E49" s="33">
        <f>9+30/60+33/3600</f>
        <v>9.5091666666666672</v>
      </c>
      <c r="F49" s="33">
        <f>-13-42/60-44/3600</f>
        <v>-13.712222222222222</v>
      </c>
      <c r="G49" s="25" t="s">
        <v>1300</v>
      </c>
      <c r="H49" s="19">
        <f>VLOOKUP( $A49, Sovereignty!$A$2:$L$510, 12, 0 )</f>
        <v>0</v>
      </c>
    </row>
    <row r="50" spans="1:8" x14ac:dyDescent="0.2">
      <c r="A50" s="15" t="s">
        <v>1299</v>
      </c>
      <c r="B50" s="15">
        <v>18910101</v>
      </c>
      <c r="C50" s="15">
        <v>18951027</v>
      </c>
      <c r="D50" s="15" t="s">
        <v>266</v>
      </c>
      <c r="E50" s="33">
        <f>9+30/60+33/3600</f>
        <v>9.5091666666666672</v>
      </c>
      <c r="F50" s="33">
        <f>-13-42/60-44/3600</f>
        <v>-13.712222222222222</v>
      </c>
      <c r="G50" s="25" t="s">
        <v>1300</v>
      </c>
      <c r="H50" s="19">
        <f>VLOOKUP( $A50, Sovereignty!$A$2:$L$510, 12, 0 )</f>
        <v>0</v>
      </c>
    </row>
    <row r="51" spans="1:8" x14ac:dyDescent="0.2">
      <c r="A51" s="15" t="s">
        <v>1046</v>
      </c>
      <c r="B51" s="15">
        <v>19740910</v>
      </c>
      <c r="C51" s="15">
        <v>20261231</v>
      </c>
      <c r="D51" s="15" t="s">
        <v>271</v>
      </c>
      <c r="E51" s="33">
        <f>11+51/60+36/3600</f>
        <v>11.86</v>
      </c>
      <c r="F51" s="33">
        <f>-15-35/60</f>
        <v>-15.583333333333334</v>
      </c>
      <c r="G51" s="25" t="s">
        <v>1303</v>
      </c>
      <c r="H51" s="19">
        <f>VLOOKUP( $A51, Sovereignty!$A$2:$L$510, 12, 0 )</f>
        <v>0</v>
      </c>
    </row>
    <row r="52" spans="1:8" x14ac:dyDescent="0.2">
      <c r="A52" s="15" t="s">
        <v>1047</v>
      </c>
      <c r="B52" s="15">
        <v>18790101</v>
      </c>
      <c r="C52" s="15">
        <v>19740910</v>
      </c>
      <c r="D52" s="15" t="s">
        <v>271</v>
      </c>
      <c r="E52" s="33">
        <f>11+51/60+36/3600</f>
        <v>11.86</v>
      </c>
      <c r="F52" s="33">
        <f>-15-35/60</f>
        <v>-15.583333333333334</v>
      </c>
      <c r="G52" s="25" t="s">
        <v>1303</v>
      </c>
      <c r="H52" s="19">
        <f>VLOOKUP( $A52, Sovereignty!$A$2:$L$510, 12, 0 )</f>
        <v>0</v>
      </c>
    </row>
    <row r="53" spans="1:8" x14ac:dyDescent="0.2">
      <c r="A53" s="15" t="s">
        <v>902</v>
      </c>
      <c r="B53" s="15">
        <v>18470726</v>
      </c>
      <c r="C53" s="15">
        <v>20261231</v>
      </c>
      <c r="D53" s="15" t="s">
        <v>303</v>
      </c>
      <c r="E53" s="33">
        <f>6+18/60+48/3600</f>
        <v>6.3133333333333335</v>
      </c>
      <c r="F53" s="33">
        <f>-10-48/60-5/3600</f>
        <v>-10.801388888888889</v>
      </c>
      <c r="G53" s="25" t="s">
        <v>1305</v>
      </c>
      <c r="H53" s="19">
        <f>VLOOKUP( $A53, Sovereignty!$A$2:$L$510, 12, 0 )</f>
        <v>0</v>
      </c>
    </row>
    <row r="54" spans="1:8" x14ac:dyDescent="0.2">
      <c r="A54" s="15" t="s">
        <v>1306</v>
      </c>
      <c r="B54" s="15">
        <v>18220107</v>
      </c>
      <c r="C54" s="15">
        <v>18470726</v>
      </c>
      <c r="D54" s="15" t="s">
        <v>303</v>
      </c>
      <c r="E54" s="33">
        <f>6+18/60+48/3600</f>
        <v>6.3133333333333335</v>
      </c>
      <c r="F54" s="33">
        <f>-10-48/60-5/3600</f>
        <v>-10.801388888888889</v>
      </c>
      <c r="G54" s="25" t="s">
        <v>1305</v>
      </c>
      <c r="H54" s="19">
        <f>VLOOKUP( $A54, Sovereignty!$A$2:$L$510, 12, 0 )</f>
        <v>0</v>
      </c>
    </row>
    <row r="55" spans="1:8" x14ac:dyDescent="0.2">
      <c r="A55" s="15" t="s">
        <v>933</v>
      </c>
      <c r="B55" s="15">
        <v>19830321</v>
      </c>
      <c r="C55" s="15">
        <v>20261231</v>
      </c>
      <c r="D55" s="15" t="s">
        <v>235</v>
      </c>
      <c r="E55" s="33">
        <f>6+48/60+58/3600</f>
        <v>6.8161111111111108</v>
      </c>
      <c r="F55" s="33">
        <f>-5+16/60+27/3600</f>
        <v>-4.7258333333333331</v>
      </c>
      <c r="G55" s="25" t="s">
        <v>1308</v>
      </c>
      <c r="H55" s="19">
        <f>VLOOKUP( $A55, Sovereignty!$A$2:$L$510, 12, 0 )</f>
        <v>0</v>
      </c>
    </row>
    <row r="56" spans="1:8" x14ac:dyDescent="0.2">
      <c r="A56" s="15" t="s">
        <v>933</v>
      </c>
      <c r="B56" s="15">
        <v>19600807</v>
      </c>
      <c r="C56" s="15">
        <v>19830321</v>
      </c>
      <c r="D56" s="15" t="s">
        <v>1197</v>
      </c>
      <c r="E56" s="33">
        <f>5+19/60</f>
        <v>5.3166666666666664</v>
      </c>
      <c r="F56" s="33">
        <f>-4-2/60</f>
        <v>-4.0333333333333332</v>
      </c>
      <c r="G56" s="25" t="s">
        <v>1309</v>
      </c>
      <c r="H56" s="19">
        <f>VLOOKUP( $A56, Sovereignty!$A$2:$L$510, 12, 0 )</f>
        <v>0</v>
      </c>
    </row>
    <row r="57" spans="1:8" x14ac:dyDescent="0.2">
      <c r="A57" s="15" t="s">
        <v>1307</v>
      </c>
      <c r="B57" s="15">
        <v>19581204</v>
      </c>
      <c r="C57" s="15">
        <v>19600807</v>
      </c>
      <c r="D57" s="15" t="s">
        <v>1197</v>
      </c>
      <c r="E57" s="33">
        <f>5+19/60</f>
        <v>5.3166666666666664</v>
      </c>
      <c r="F57" s="33">
        <f>-4-2/60</f>
        <v>-4.0333333333333332</v>
      </c>
      <c r="G57" s="25" t="s">
        <v>1309</v>
      </c>
      <c r="H57" s="19">
        <f>VLOOKUP( $A57, Sovereignty!$A$2:$L$510, 12, 0 )</f>
        <v>0</v>
      </c>
    </row>
    <row r="58" spans="1:8" x14ac:dyDescent="0.2">
      <c r="A58" s="15" t="s">
        <v>1200</v>
      </c>
      <c r="B58" s="15">
        <v>19340101</v>
      </c>
      <c r="C58" s="15">
        <v>19581204</v>
      </c>
      <c r="D58" s="15" t="s">
        <v>1198</v>
      </c>
      <c r="E58" s="33">
        <f>5+21/60</f>
        <v>5.35</v>
      </c>
      <c r="F58" s="33">
        <f>-3-54/60</f>
        <v>-3.9</v>
      </c>
      <c r="G58" s="25" t="s">
        <v>1312</v>
      </c>
      <c r="H58" s="19">
        <f>VLOOKUP( $A58, Sovereignty!$A$2:$L$510, 12, 0 )</f>
        <v>0</v>
      </c>
    </row>
    <row r="59" spans="1:8" x14ac:dyDescent="0.2">
      <c r="A59" s="15" t="s">
        <v>1200</v>
      </c>
      <c r="B59" s="15">
        <v>19000101</v>
      </c>
      <c r="C59" s="15">
        <v>19340101</v>
      </c>
      <c r="D59" s="15" t="s">
        <v>1198</v>
      </c>
      <c r="E59" s="33">
        <f>5+21/60</f>
        <v>5.35</v>
      </c>
      <c r="F59" s="33">
        <f>-3-54/60</f>
        <v>-3.9</v>
      </c>
      <c r="G59" s="25" t="s">
        <v>1312</v>
      </c>
      <c r="H59" s="19">
        <f>VLOOKUP( $A59, Sovereignty!$A$2:$L$510, 12, 0 )</f>
        <v>0</v>
      </c>
    </row>
    <row r="60" spans="1:8" x14ac:dyDescent="0.2">
      <c r="A60" s="15" t="s">
        <v>1200</v>
      </c>
      <c r="B60" s="15">
        <v>18930310</v>
      </c>
      <c r="C60" s="15">
        <v>19000101</v>
      </c>
      <c r="D60" s="15" t="s">
        <v>1196</v>
      </c>
      <c r="E60" s="33">
        <f>5+12/60</f>
        <v>5.2</v>
      </c>
      <c r="F60" s="33">
        <f>-3-44/60</f>
        <v>-3.7333333333333334</v>
      </c>
      <c r="G60" s="25" t="s">
        <v>1310</v>
      </c>
      <c r="H60" s="19">
        <f>VLOOKUP( $A60, Sovereignty!$A$2:$L$510, 12, 0 )</f>
        <v>0</v>
      </c>
    </row>
    <row r="61" spans="1:8" x14ac:dyDescent="0.2">
      <c r="A61" s="15" t="s">
        <v>1456</v>
      </c>
      <c r="B61" s="15">
        <v>19570306</v>
      </c>
      <c r="C61" s="15">
        <v>20261231</v>
      </c>
      <c r="D61" s="15" t="s">
        <v>262</v>
      </c>
      <c r="E61" s="33">
        <f>5+33/60</f>
        <v>5.55</v>
      </c>
      <c r="F61" s="33">
        <f>-12/60</f>
        <v>-0.2</v>
      </c>
      <c r="G61" s="25" t="s">
        <v>1313</v>
      </c>
      <c r="H61" s="19">
        <f>VLOOKUP( $A61, Sovereignty!$A$2:$L$510, 12, 0 )</f>
        <v>0</v>
      </c>
    </row>
    <row r="62" spans="1:8" x14ac:dyDescent="0.2">
      <c r="A62" s="15" t="s">
        <v>906</v>
      </c>
      <c r="B62" s="15">
        <v>19600427</v>
      </c>
      <c r="C62" s="15">
        <v>20261231</v>
      </c>
      <c r="D62" s="15" t="s">
        <v>378</v>
      </c>
      <c r="E62" s="33">
        <f>6+7/60+51/3600</f>
        <v>6.1308333333333334</v>
      </c>
      <c r="F62" s="33">
        <f>1+12/60+55/3600</f>
        <v>1.2152777777777777</v>
      </c>
      <c r="G62" s="25" t="s">
        <v>1315</v>
      </c>
      <c r="H62" s="19">
        <f>VLOOKUP( $A62, Sovereignty!$A$2:$L$510, 12, 0 )</f>
        <v>0</v>
      </c>
    </row>
    <row r="63" spans="1:8" x14ac:dyDescent="0.2">
      <c r="A63" s="15" t="s">
        <v>2361</v>
      </c>
      <c r="B63" s="15">
        <v>19560910</v>
      </c>
      <c r="C63" s="15">
        <v>19600427</v>
      </c>
      <c r="D63" s="15" t="s">
        <v>378</v>
      </c>
      <c r="E63" s="33">
        <f>6+7/60+51/3600</f>
        <v>6.1308333333333334</v>
      </c>
      <c r="F63" s="33">
        <f>1+12/60+55/3600</f>
        <v>1.2152777777777777</v>
      </c>
      <c r="G63" s="25" t="s">
        <v>1315</v>
      </c>
      <c r="H63" s="19">
        <f>VLOOKUP( $A63, Sovereignty!$A$2:$L$510, 12, 0 )</f>
        <v>0</v>
      </c>
    </row>
    <row r="64" spans="1:8" x14ac:dyDescent="0.2">
      <c r="A64" s="15" t="s">
        <v>1057</v>
      </c>
      <c r="B64" s="15">
        <v>18970101</v>
      </c>
      <c r="C64" s="15">
        <v>19161227</v>
      </c>
      <c r="D64" s="15" t="s">
        <v>378</v>
      </c>
      <c r="E64" s="33">
        <f>6+7/60+51/3600</f>
        <v>6.1308333333333334</v>
      </c>
      <c r="F64" s="33">
        <f>1+12/60+55/3600</f>
        <v>1.2152777777777777</v>
      </c>
      <c r="G64" s="25" t="s">
        <v>1315</v>
      </c>
      <c r="H64" s="19">
        <f>VLOOKUP( $A64, Sovereignty!$A$2:$L$510, 12, 0 )</f>
        <v>0</v>
      </c>
    </row>
    <row r="65" spans="1:8" x14ac:dyDescent="0.2">
      <c r="A65" s="15" t="s">
        <v>1057</v>
      </c>
      <c r="B65" s="15">
        <v>18870101</v>
      </c>
      <c r="C65" s="15">
        <v>18970101</v>
      </c>
      <c r="D65" s="15" t="s">
        <v>1056</v>
      </c>
      <c r="E65" s="33">
        <f>6+25/60</f>
        <v>6.416666666666667</v>
      </c>
      <c r="F65" s="33">
        <f>1+37/60</f>
        <v>1.6166666666666667</v>
      </c>
      <c r="G65" s="25" t="s">
        <v>1317</v>
      </c>
      <c r="H65" s="19">
        <f>VLOOKUP( $A65, Sovereignty!$A$2:$L$510, 12, 0 )</f>
        <v>0</v>
      </c>
    </row>
    <row r="66" spans="1:8" x14ac:dyDescent="0.2">
      <c r="A66" s="15" t="s">
        <v>1057</v>
      </c>
      <c r="B66" s="15">
        <v>18840705</v>
      </c>
      <c r="C66" s="15">
        <v>18870101</v>
      </c>
      <c r="D66" s="15" t="s">
        <v>1055</v>
      </c>
      <c r="E66" s="33">
        <f>6+10/60</f>
        <v>6.166666666666667</v>
      </c>
      <c r="F66" s="33">
        <f>1+19/60</f>
        <v>1.3166666666666667</v>
      </c>
      <c r="G66" s="25" t="s">
        <v>1318</v>
      </c>
      <c r="H66" s="19">
        <f>VLOOKUP( $A66, Sovereignty!$A$2:$L$510, 12, 0 )</f>
        <v>0</v>
      </c>
    </row>
    <row r="67" spans="1:8" x14ac:dyDescent="0.2">
      <c r="A67" s="15" t="s">
        <v>1060</v>
      </c>
      <c r="B67" s="15">
        <v>19161227</v>
      </c>
      <c r="C67" s="15">
        <v>19560910</v>
      </c>
      <c r="D67" s="15" t="s">
        <v>378</v>
      </c>
      <c r="E67" s="33">
        <f>6+7/60+51/3600</f>
        <v>6.1308333333333334</v>
      </c>
      <c r="F67" s="33">
        <f>1+12/60+55/3600</f>
        <v>1.2152777777777777</v>
      </c>
      <c r="G67" s="25" t="s">
        <v>1315</v>
      </c>
      <c r="H67" s="19">
        <f>VLOOKUP( $A67, Sovereignty!$A$2:$L$510, 12, 0 )</f>
        <v>0</v>
      </c>
    </row>
    <row r="68" spans="1:8" x14ac:dyDescent="0.2">
      <c r="A68" s="15" t="s">
        <v>1063</v>
      </c>
      <c r="B68" s="15">
        <v>19610427</v>
      </c>
      <c r="C68" s="15">
        <v>20261231</v>
      </c>
      <c r="D68" s="15" t="s">
        <v>258</v>
      </c>
      <c r="E68" s="33">
        <f>8+29/60+14/3600</f>
        <v>8.487222222222222</v>
      </c>
      <c r="F68" s="33">
        <f>-13-14/60-8/3600</f>
        <v>-13.235555555555555</v>
      </c>
      <c r="G68" s="25" t="s">
        <v>1320</v>
      </c>
      <c r="H68" s="19">
        <f>VLOOKUP( $A68, Sovereignty!$A$2:$L$510, 12, 0 )</f>
        <v>0</v>
      </c>
    </row>
    <row r="69" spans="1:8" x14ac:dyDescent="0.2">
      <c r="A69" s="15" t="s">
        <v>1065</v>
      </c>
      <c r="B69" s="15">
        <v>18080101</v>
      </c>
      <c r="C69" s="15">
        <v>19610427</v>
      </c>
      <c r="D69" s="15" t="s">
        <v>258</v>
      </c>
      <c r="E69" s="33">
        <f>8+29/60+14/3600</f>
        <v>8.487222222222222</v>
      </c>
      <c r="F69" s="33">
        <f>-13-14/60-8/3600</f>
        <v>-13.235555555555555</v>
      </c>
      <c r="G69" s="25" t="s">
        <v>1320</v>
      </c>
      <c r="H69" s="19">
        <f>VLOOKUP( $A69, Sovereignty!$A$2:$L$510, 12, 0 )</f>
        <v>0</v>
      </c>
    </row>
    <row r="70" spans="1:8" x14ac:dyDescent="0.2">
      <c r="A70" s="15" t="s">
        <v>907</v>
      </c>
      <c r="B70" s="15">
        <v>19600820</v>
      </c>
      <c r="C70" s="15">
        <v>20261231</v>
      </c>
      <c r="D70" s="15" t="s">
        <v>311</v>
      </c>
      <c r="E70" s="33">
        <f>12+38/60+21/3600</f>
        <v>12.639166666666666</v>
      </c>
      <c r="F70" s="33">
        <f>-8-10/3600</f>
        <v>-8.0027777777777782</v>
      </c>
      <c r="G70" s="25" t="s">
        <v>1324</v>
      </c>
      <c r="H70" s="19">
        <f>VLOOKUP( $A70, Sovereignty!$A$2:$L$510, 12, 0 )</f>
        <v>0</v>
      </c>
    </row>
    <row r="71" spans="1:8" x14ac:dyDescent="0.2">
      <c r="A71" s="15" t="s">
        <v>1068</v>
      </c>
      <c r="B71" s="15">
        <v>19581124</v>
      </c>
      <c r="C71" s="15">
        <v>19600620</v>
      </c>
      <c r="D71" s="15" t="s">
        <v>311</v>
      </c>
      <c r="E71" s="33">
        <f>12+38/60+21/3600</f>
        <v>12.639166666666666</v>
      </c>
      <c r="F71" s="33">
        <f>-8-10/3600</f>
        <v>-8.0027777777777782</v>
      </c>
      <c r="G71" s="25" t="s">
        <v>1324</v>
      </c>
      <c r="H71" s="19">
        <f>VLOOKUP( $A71, Sovereignty!$A$2:$L$510, 12, 0 )</f>
        <v>0</v>
      </c>
    </row>
    <row r="72" spans="1:8" x14ac:dyDescent="0.2">
      <c r="A72" s="15" t="s">
        <v>1323</v>
      </c>
      <c r="B72" s="15">
        <v>18900818</v>
      </c>
      <c r="C72" s="15">
        <v>19581124</v>
      </c>
      <c r="D72" s="15" t="s">
        <v>311</v>
      </c>
      <c r="E72" s="33">
        <f>12+38/60+21/3600</f>
        <v>12.639166666666666</v>
      </c>
      <c r="F72" s="33">
        <f>-8-10/3600</f>
        <v>-8.0027777777777782</v>
      </c>
      <c r="G72" s="25" t="s">
        <v>1324</v>
      </c>
      <c r="H72" s="19">
        <f>VLOOKUP( $A72, Sovereignty!$A$2:$L$510, 12, 0 )</f>
        <v>0</v>
      </c>
    </row>
    <row r="73" spans="1:8" x14ac:dyDescent="0.2">
      <c r="A73" s="15" t="s">
        <v>918</v>
      </c>
      <c r="B73" s="15">
        <v>19600805</v>
      </c>
      <c r="C73" s="15">
        <v>20261231</v>
      </c>
      <c r="D73" s="15" t="s">
        <v>219</v>
      </c>
      <c r="E73" s="33">
        <f>12+22/60+7/3600</f>
        <v>12.368611111111111</v>
      </c>
      <c r="F73" s="33">
        <f>-1-31/60-39/3600</f>
        <v>-1.5274999999999999</v>
      </c>
      <c r="G73" s="25" t="s">
        <v>1325</v>
      </c>
      <c r="H73" s="19">
        <f>VLOOKUP( $A73, Sovereignty!$A$2:$L$510, 12, 0 )</f>
        <v>0</v>
      </c>
    </row>
    <row r="74" spans="1:8" x14ac:dyDescent="0.2">
      <c r="A74" s="15" t="s">
        <v>1186</v>
      </c>
      <c r="B74" s="15">
        <v>19581211</v>
      </c>
      <c r="C74" s="15">
        <v>19600805</v>
      </c>
      <c r="D74" s="15" t="s">
        <v>219</v>
      </c>
      <c r="E74" s="33">
        <f>12+22/60+7/3600</f>
        <v>12.368611111111111</v>
      </c>
      <c r="F74" s="33">
        <f>-1-31/60-39/3600</f>
        <v>-1.5274999999999999</v>
      </c>
      <c r="G74" s="25" t="s">
        <v>1325</v>
      </c>
      <c r="H74" s="19">
        <f>VLOOKUP( $A74, Sovereignty!$A$2:$L$510, 12, 0 )</f>
        <v>0</v>
      </c>
    </row>
    <row r="75" spans="1:8" x14ac:dyDescent="0.2">
      <c r="A75" s="15" t="s">
        <v>928</v>
      </c>
      <c r="B75" s="15">
        <v>19600803</v>
      </c>
      <c r="C75" s="15">
        <v>20261231</v>
      </c>
      <c r="D75" s="15" t="s">
        <v>329</v>
      </c>
      <c r="E75" s="33">
        <f>13+30/60+49/3600</f>
        <v>13.513611111111111</v>
      </c>
      <c r="F75" s="33">
        <f>2+6/60+32/3600</f>
        <v>2.108888888888889</v>
      </c>
      <c r="G75" s="25" t="s">
        <v>1327</v>
      </c>
      <c r="H75" s="19">
        <f>VLOOKUP( $A75, Sovereignty!$A$2:$L$510, 12, 0 )</f>
        <v>0</v>
      </c>
    </row>
    <row r="76" spans="1:8" x14ac:dyDescent="0.2">
      <c r="A76" s="15" t="s">
        <v>1202</v>
      </c>
      <c r="B76" s="15">
        <v>19581218</v>
      </c>
      <c r="C76" s="15">
        <v>19600803</v>
      </c>
      <c r="D76" s="15" t="s">
        <v>329</v>
      </c>
      <c r="E76" s="33">
        <f>13+30/60+49/3600</f>
        <v>13.513611111111111</v>
      </c>
      <c r="F76" s="33">
        <f>2+6/60+32/3600</f>
        <v>2.108888888888889</v>
      </c>
      <c r="G76" s="25" t="s">
        <v>1327</v>
      </c>
      <c r="H76" s="19">
        <f>VLOOKUP( $A76, Sovereignty!$A$2:$L$510, 12, 0 )</f>
        <v>0</v>
      </c>
    </row>
    <row r="77" spans="1:8" x14ac:dyDescent="0.2">
      <c r="A77" s="15" t="s">
        <v>931</v>
      </c>
      <c r="B77" s="15">
        <v>19600801</v>
      </c>
      <c r="C77" s="15">
        <v>20261231</v>
      </c>
      <c r="D77" s="15" t="s">
        <v>211</v>
      </c>
      <c r="E77" s="33">
        <f>6+29/60+50/3600</f>
        <v>6.4972222222222227</v>
      </c>
      <c r="F77" s="33">
        <f>2+36/60+18/3600</f>
        <v>2.605</v>
      </c>
      <c r="G77" s="25" t="s">
        <v>1330</v>
      </c>
      <c r="H77" s="19">
        <f>VLOOKUP( $A77, Sovereignty!$A$2:$L$510, 12, 0 )</f>
        <v>0</v>
      </c>
    </row>
    <row r="78" spans="1:8" x14ac:dyDescent="0.2">
      <c r="A78" s="15" t="s">
        <v>1204</v>
      </c>
      <c r="B78" s="15">
        <v>19581204</v>
      </c>
      <c r="C78" s="15">
        <v>19600801</v>
      </c>
      <c r="D78" s="15" t="s">
        <v>211</v>
      </c>
      <c r="E78" s="33">
        <f>6+29/60+50/3600</f>
        <v>6.4972222222222227</v>
      </c>
      <c r="F78" s="33">
        <f>2+36/60+18/3600</f>
        <v>2.605</v>
      </c>
      <c r="G78" s="25" t="s">
        <v>1330</v>
      </c>
      <c r="H78" s="19">
        <f>VLOOKUP( $A78, Sovereignty!$A$2:$L$510, 12, 0 )</f>
        <v>0</v>
      </c>
    </row>
    <row r="79" spans="1:8" x14ac:dyDescent="0.2">
      <c r="A79" s="15" t="s">
        <v>1208</v>
      </c>
      <c r="B79" s="15">
        <v>18770101</v>
      </c>
      <c r="C79" s="15">
        <v>19570306</v>
      </c>
      <c r="D79" s="15" t="s">
        <v>262</v>
      </c>
      <c r="E79" s="33">
        <f>5+33/60</f>
        <v>5.55</v>
      </c>
      <c r="F79" s="33">
        <f>-12/60</f>
        <v>-0.2</v>
      </c>
      <c r="G79" s="25" t="s">
        <v>1313</v>
      </c>
      <c r="H79" s="19">
        <f>VLOOKUP( $A79, Sovereignty!$A$2:$L$510, 12, 0 )</f>
        <v>0</v>
      </c>
    </row>
    <row r="80" spans="1:8" x14ac:dyDescent="0.2">
      <c r="A80" s="15" t="s">
        <v>1208</v>
      </c>
      <c r="B80" s="15">
        <v>18210101</v>
      </c>
      <c r="C80" s="15">
        <v>18770101</v>
      </c>
      <c r="D80" s="15" t="s">
        <v>1207</v>
      </c>
      <c r="E80" s="33">
        <f>5+6/60</f>
        <v>5.0999999999999996</v>
      </c>
      <c r="F80" s="33">
        <f>-1-15/60</f>
        <v>-1.25</v>
      </c>
      <c r="G80" s="25" t="s">
        <v>1334</v>
      </c>
      <c r="H80" s="19">
        <f>VLOOKUP( $A80, Sovereignty!$A$2:$L$510, 12, 0 )</f>
        <v>0</v>
      </c>
    </row>
    <row r="81" spans="1:8" x14ac:dyDescent="0.2">
      <c r="A81" s="15" t="s">
        <v>937</v>
      </c>
      <c r="B81" s="15">
        <v>19911212</v>
      </c>
      <c r="C81" s="15">
        <v>20261231</v>
      </c>
      <c r="D81" s="15" t="s">
        <v>330</v>
      </c>
      <c r="E81" s="33">
        <f>9+4/60</f>
        <v>9.0666666666666664</v>
      </c>
      <c r="F81" s="33">
        <f>7+29/60</f>
        <v>7.4833333333333334</v>
      </c>
      <c r="G81" s="25" t="s">
        <v>1342</v>
      </c>
      <c r="H81" s="19">
        <f>VLOOKUP( $A81, Sovereignty!$A$2:$L$510, 12, 0 )</f>
        <v>0</v>
      </c>
    </row>
    <row r="82" spans="1:8" x14ac:dyDescent="0.2">
      <c r="A82" s="15" t="s">
        <v>937</v>
      </c>
      <c r="B82" s="15">
        <v>19541001</v>
      </c>
      <c r="C82" s="15">
        <v>19911212</v>
      </c>
      <c r="D82" s="15" t="s">
        <v>1210</v>
      </c>
      <c r="E82" s="33">
        <f t="shared" ref="E82:E83" si="0">6+27/60+22/3600</f>
        <v>6.4561111111111114</v>
      </c>
      <c r="F82" s="33">
        <f t="shared" ref="F82:F83" si="1">3+23/60+37/3600</f>
        <v>3.3936111111111109</v>
      </c>
      <c r="G82" s="25" t="s">
        <v>1339</v>
      </c>
      <c r="H82" s="19">
        <f>VLOOKUP( $A82, Sovereignty!$A$2:$L$510, 12, 0 )</f>
        <v>0</v>
      </c>
    </row>
    <row r="83" spans="1:8" x14ac:dyDescent="0.2">
      <c r="A83" s="15" t="s">
        <v>1213</v>
      </c>
      <c r="B83" s="15">
        <v>19140101</v>
      </c>
      <c r="C83" s="15">
        <v>19541001</v>
      </c>
      <c r="D83" s="15" t="s">
        <v>1210</v>
      </c>
      <c r="E83" s="33">
        <f t="shared" si="0"/>
        <v>6.4561111111111114</v>
      </c>
      <c r="F83" s="33">
        <f t="shared" si="1"/>
        <v>3.3936111111111109</v>
      </c>
      <c r="G83" s="25" t="s">
        <v>1339</v>
      </c>
      <c r="H83" s="19">
        <f>VLOOKUP( $A83, Sovereignty!$A$2:$L$510, 12, 0 )</f>
        <v>0</v>
      </c>
    </row>
    <row r="84" spans="1:8" x14ac:dyDescent="0.2">
      <c r="A84" s="15" t="s">
        <v>1219</v>
      </c>
      <c r="B84" s="15">
        <v>19000101</v>
      </c>
      <c r="C84" s="15">
        <v>19140101</v>
      </c>
      <c r="D84" s="15" t="s">
        <v>1218</v>
      </c>
      <c r="E84" s="33">
        <f>9+48/60</f>
        <v>9.8000000000000007</v>
      </c>
      <c r="F84" s="33">
        <f>6+9/60</f>
        <v>6.15</v>
      </c>
      <c r="G84" s="25" t="s">
        <v>1337</v>
      </c>
      <c r="H84" s="19">
        <f>VLOOKUP( $A84, Sovereignty!$A$2:$L$510, 12, 0 )</f>
        <v>0</v>
      </c>
    </row>
    <row r="85" spans="1:8" x14ac:dyDescent="0.2">
      <c r="A85" s="15" t="s">
        <v>1220</v>
      </c>
      <c r="B85" s="15">
        <v>19000101</v>
      </c>
      <c r="C85" s="15">
        <v>19140101</v>
      </c>
      <c r="D85" s="15" t="s">
        <v>1210</v>
      </c>
      <c r="E85" s="33">
        <f>6+27/60+22/3600</f>
        <v>6.4561111111111114</v>
      </c>
      <c r="F85" s="33">
        <f>3+23/60+37/3600</f>
        <v>3.3936111111111109</v>
      </c>
      <c r="G85" s="25" t="s">
        <v>1339</v>
      </c>
      <c r="H85" s="19">
        <f>VLOOKUP( $A85, Sovereignty!$A$2:$L$510, 12, 0 )</f>
        <v>0</v>
      </c>
    </row>
    <row r="86" spans="1:8" x14ac:dyDescent="0.2">
      <c r="A86" s="15" t="s">
        <v>938</v>
      </c>
      <c r="B86" s="15">
        <v>20260102</v>
      </c>
      <c r="C86" s="15">
        <v>20261231</v>
      </c>
      <c r="D86" s="15" t="s">
        <v>250</v>
      </c>
      <c r="E86" s="33">
        <f>1+35/60+20/3600</f>
        <v>1.588888888888889</v>
      </c>
      <c r="F86" s="33">
        <f>10+49/60+21/3600</f>
        <v>10.8225</v>
      </c>
      <c r="G86" s="25" t="s">
        <v>1348</v>
      </c>
      <c r="H86" s="19">
        <f>VLOOKUP( $A86, Sovereignty!$A$2:$L$510, 12, 0 )</f>
        <v>0</v>
      </c>
    </row>
    <row r="87" spans="1:8" x14ac:dyDescent="0.2">
      <c r="A87" s="15" t="s">
        <v>938</v>
      </c>
      <c r="B87" s="15">
        <v>19730712</v>
      </c>
      <c r="C87" s="15">
        <v>20260102</v>
      </c>
      <c r="D87" s="15" t="s">
        <v>1352</v>
      </c>
      <c r="E87" s="33">
        <f t="shared" ref="E87:E88" si="2">3+44/60+44/3600</f>
        <v>3.7455555555555557</v>
      </c>
      <c r="F87" s="33">
        <f t="shared" ref="F87:F88" si="3">8+46/60+28/3600</f>
        <v>8.7744444444444447</v>
      </c>
      <c r="G87" s="25" t="s">
        <v>1351</v>
      </c>
      <c r="H87" s="19">
        <f>VLOOKUP( $A87, Sovereignty!$A$2:$L$510, 12, 0 )</f>
        <v>0</v>
      </c>
    </row>
    <row r="88" spans="1:8" x14ac:dyDescent="0.2">
      <c r="A88" s="15" t="s">
        <v>938</v>
      </c>
      <c r="B88" s="15">
        <v>19681012</v>
      </c>
      <c r="C88" s="15">
        <v>19730712</v>
      </c>
      <c r="D88" s="15" t="s">
        <v>1352</v>
      </c>
      <c r="E88" s="33">
        <f t="shared" si="2"/>
        <v>3.7455555555555557</v>
      </c>
      <c r="F88" s="33">
        <f t="shared" si="3"/>
        <v>8.7744444444444447</v>
      </c>
      <c r="G88" s="25" t="s">
        <v>1351</v>
      </c>
      <c r="H88" s="19">
        <f>VLOOKUP( $A88, Sovereignty!$A$2:$L$510, 12, 0 )</f>
        <v>0</v>
      </c>
    </row>
    <row r="89" spans="1:8" x14ac:dyDescent="0.2">
      <c r="A89" s="15" t="s">
        <v>1349</v>
      </c>
      <c r="B89" s="15">
        <v>19590730</v>
      </c>
      <c r="C89" s="15">
        <v>19681012</v>
      </c>
      <c r="D89" s="15" t="s">
        <v>1224</v>
      </c>
      <c r="E89" s="33">
        <f>3+44/60+44/3600</f>
        <v>3.7455555555555557</v>
      </c>
      <c r="F89" s="33">
        <f>8+46/60+28/3600</f>
        <v>8.7744444444444447</v>
      </c>
      <c r="G89" s="25" t="s">
        <v>1351</v>
      </c>
      <c r="H89" s="19">
        <f>VLOOKUP( $A89, Sovereignty!$A$2:$L$510, 12, 0 )</f>
        <v>0</v>
      </c>
    </row>
    <row r="90" spans="1:8" x14ac:dyDescent="0.2">
      <c r="A90" s="15" t="s">
        <v>1350</v>
      </c>
      <c r="B90" s="15">
        <v>19000627</v>
      </c>
      <c r="C90" s="15">
        <v>19590730</v>
      </c>
      <c r="D90" s="15" t="s">
        <v>1224</v>
      </c>
      <c r="E90" s="33">
        <f>3+44/60+44/3600</f>
        <v>3.7455555555555557</v>
      </c>
      <c r="F90" s="33">
        <f>8+46/60+28/3600</f>
        <v>8.7744444444444447</v>
      </c>
      <c r="G90" s="25" t="s">
        <v>1351</v>
      </c>
      <c r="H90" s="19">
        <f>VLOOKUP( $A90, Sovereignty!$A$2:$L$510, 12, 0 )</f>
        <v>0</v>
      </c>
    </row>
    <row r="91" spans="1:8" x14ac:dyDescent="0.2">
      <c r="A91" s="15" t="s">
        <v>2362</v>
      </c>
      <c r="B91" s="15">
        <v>19750712</v>
      </c>
      <c r="C91" s="15">
        <v>20261231</v>
      </c>
      <c r="D91" s="15" t="s">
        <v>353</v>
      </c>
      <c r="E91" s="33">
        <f>20/60</f>
        <v>0.33333333333333331</v>
      </c>
      <c r="F91" s="33">
        <f>6+44/60</f>
        <v>6.7333333333333334</v>
      </c>
      <c r="G91" s="25" t="s">
        <v>1354</v>
      </c>
      <c r="H91" s="19">
        <f>VLOOKUP( $A91, Sovereignty!$A$2:$L$510, 12, 0 )</f>
        <v>0</v>
      </c>
    </row>
    <row r="92" spans="1:8" x14ac:dyDescent="0.2">
      <c r="A92" s="15" t="s">
        <v>1032</v>
      </c>
      <c r="B92" s="15">
        <v>14850101</v>
      </c>
      <c r="C92" s="15">
        <v>19750712</v>
      </c>
      <c r="D92" s="15" t="s">
        <v>353</v>
      </c>
      <c r="E92" s="33">
        <f>20/60</f>
        <v>0.33333333333333331</v>
      </c>
      <c r="F92" s="33">
        <f>6+44/60</f>
        <v>6.7333333333333334</v>
      </c>
      <c r="G92" s="25" t="s">
        <v>1354</v>
      </c>
      <c r="H92" s="19">
        <f>VLOOKUP( $A92, Sovereignty!$A$2:$L$510, 12, 0 )</f>
        <v>0</v>
      </c>
    </row>
    <row r="93" spans="1:8" x14ac:dyDescent="0.2">
      <c r="A93" s="15" t="s">
        <v>904</v>
      </c>
      <c r="B93" s="15">
        <v>19760629</v>
      </c>
      <c r="C93" s="15">
        <v>20261231</v>
      </c>
      <c r="D93" s="15" t="s">
        <v>357</v>
      </c>
      <c r="E93" s="33">
        <f>-4-37/60-23/3600</f>
        <v>-4.6230555555555561</v>
      </c>
      <c r="F93" s="33">
        <f>55+27/60+9/3600</f>
        <v>55.452500000000001</v>
      </c>
      <c r="G93" s="25" t="s">
        <v>1356</v>
      </c>
      <c r="H93" s="19">
        <f>VLOOKUP( $A93, Sovereignty!$A$2:$L$510, 12, 0 )</f>
        <v>0</v>
      </c>
    </row>
    <row r="94" spans="1:8" x14ac:dyDescent="0.2">
      <c r="A94" s="15" t="s">
        <v>1036</v>
      </c>
      <c r="B94" s="15">
        <v>18410101</v>
      </c>
      <c r="C94" s="15">
        <v>19760629</v>
      </c>
      <c r="D94" s="15" t="s">
        <v>357</v>
      </c>
      <c r="E94" s="33">
        <f t="shared" ref="E94:E96" si="4">-4-37/60-23/3600</f>
        <v>-4.6230555555555561</v>
      </c>
      <c r="F94" s="33">
        <f t="shared" ref="F94:F96" si="5">55+27/60+9/3600</f>
        <v>55.452500000000001</v>
      </c>
      <c r="G94" s="25" t="s">
        <v>1356</v>
      </c>
      <c r="H94" s="19">
        <f>VLOOKUP( $A94, Sovereignty!$A$2:$L$510, 12, 0 )</f>
        <v>0</v>
      </c>
    </row>
    <row r="95" spans="1:8" x14ac:dyDescent="0.2">
      <c r="A95" s="15" t="s">
        <v>1036</v>
      </c>
      <c r="B95" s="15">
        <v>18140430</v>
      </c>
      <c r="C95" s="15">
        <v>18410101</v>
      </c>
      <c r="D95" s="15" t="s">
        <v>1357</v>
      </c>
      <c r="E95" s="33">
        <f t="shared" si="4"/>
        <v>-4.6230555555555561</v>
      </c>
      <c r="F95" s="33">
        <f t="shared" si="5"/>
        <v>55.452500000000001</v>
      </c>
      <c r="G95" s="25" t="s">
        <v>1356</v>
      </c>
      <c r="H95" s="19">
        <f>VLOOKUP( $A95, Sovereignty!$A$2:$L$510, 12, 0 )</f>
        <v>0</v>
      </c>
    </row>
    <row r="96" spans="1:8" x14ac:dyDescent="0.2">
      <c r="A96" s="15" t="s">
        <v>1037</v>
      </c>
      <c r="B96" s="15">
        <v>17780101</v>
      </c>
      <c r="C96" s="15">
        <v>18140430</v>
      </c>
      <c r="D96" s="15" t="s">
        <v>1357</v>
      </c>
      <c r="E96" s="33">
        <f t="shared" si="4"/>
        <v>-4.6230555555555561</v>
      </c>
      <c r="F96" s="33">
        <f t="shared" si="5"/>
        <v>55.452500000000001</v>
      </c>
      <c r="G96" s="25" t="s">
        <v>1356</v>
      </c>
      <c r="H96" s="19">
        <f>VLOOKUP( $A96, Sovereignty!$A$2:$L$510, 12, 0 )</f>
        <v>0</v>
      </c>
    </row>
    <row r="97" spans="1:8" x14ac:dyDescent="0.2">
      <c r="A97" s="15" t="s">
        <v>1037</v>
      </c>
      <c r="B97" s="15">
        <v>17561101</v>
      </c>
      <c r="C97" s="15">
        <v>17780101</v>
      </c>
      <c r="D97" s="15"/>
      <c r="E97" s="33"/>
      <c r="F97" s="33"/>
      <c r="H97" s="19">
        <f>VLOOKUP( $A97, Sovereignty!$A$2:$L$510, 12, 0 )</f>
        <v>0</v>
      </c>
    </row>
    <row r="98" spans="1:8" x14ac:dyDescent="0.2">
      <c r="A98" s="15" t="s">
        <v>905</v>
      </c>
      <c r="B98" s="15">
        <v>19751111</v>
      </c>
      <c r="C98" s="15">
        <v>20261231</v>
      </c>
      <c r="D98" s="15" t="s">
        <v>195</v>
      </c>
      <c r="E98" s="33">
        <f>-8-50/60-18/3600</f>
        <v>-8.8383333333333347</v>
      </c>
      <c r="F98" s="33">
        <f>13+14/60+4/3600</f>
        <v>13.234444444444444</v>
      </c>
      <c r="G98" s="25" t="s">
        <v>1359</v>
      </c>
      <c r="H98" s="19">
        <f>VLOOKUP( $A98, Sovereignty!$A$2:$L$510, 12, 0 )</f>
        <v>0</v>
      </c>
    </row>
    <row r="99" spans="1:8" x14ac:dyDescent="0.2">
      <c r="A99" s="15" t="s">
        <v>1358</v>
      </c>
      <c r="B99" s="15">
        <v>18910611</v>
      </c>
      <c r="C99" s="15">
        <v>19751111</v>
      </c>
      <c r="D99" s="15" t="s">
        <v>195</v>
      </c>
      <c r="E99" s="33">
        <f>-8-50/60-18/3600</f>
        <v>-8.8383333333333347</v>
      </c>
      <c r="F99" s="33">
        <f>13+14/60+4/3600</f>
        <v>13.234444444444444</v>
      </c>
      <c r="G99" s="25" t="s">
        <v>1359</v>
      </c>
      <c r="H99" s="19">
        <f>VLOOKUP( $A99, Sovereignty!$A$2:$L$510, 12, 0 )</f>
        <v>0</v>
      </c>
    </row>
    <row r="100" spans="1:8" x14ac:dyDescent="0.2">
      <c r="A100" s="15" t="s">
        <v>1329</v>
      </c>
      <c r="B100" s="15">
        <v>19660530</v>
      </c>
      <c r="C100" s="15">
        <v>20261231</v>
      </c>
      <c r="D100" s="15" t="s">
        <v>241</v>
      </c>
      <c r="E100" s="33">
        <f>-4-19/60-19/3600</f>
        <v>-4.3219444444444441</v>
      </c>
      <c r="F100" s="33">
        <f>15+18/60+43/3600</f>
        <v>15.311944444444444</v>
      </c>
      <c r="G100" s="25" t="s">
        <v>1363</v>
      </c>
      <c r="H100" s="19">
        <f>VLOOKUP( $A100, Sovereignty!$A$2:$L$510, 12, 0 )</f>
        <v>0</v>
      </c>
    </row>
    <row r="101" spans="1:8" x14ac:dyDescent="0.2">
      <c r="A101" s="15" t="s">
        <v>1329</v>
      </c>
      <c r="B101" s="15">
        <v>19600630</v>
      </c>
      <c r="C101" s="15">
        <v>19660530</v>
      </c>
      <c r="D101" s="15" t="s">
        <v>1078</v>
      </c>
      <c r="E101" s="33">
        <f>-4-19/60-19/3600</f>
        <v>-4.3219444444444441</v>
      </c>
      <c r="F101" s="33">
        <f>15+18/60+43/3600</f>
        <v>15.311944444444444</v>
      </c>
      <c r="G101" s="25" t="s">
        <v>1363</v>
      </c>
      <c r="H101" s="19">
        <f>VLOOKUP( $A101, Sovereignty!$A$2:$L$510, 12, 0 )</f>
        <v>0</v>
      </c>
    </row>
    <row r="102" spans="1:8" x14ac:dyDescent="0.2">
      <c r="A102" s="15" t="s">
        <v>1077</v>
      </c>
      <c r="B102" s="15">
        <v>19230101</v>
      </c>
      <c r="C102" s="15">
        <v>19600630</v>
      </c>
      <c r="D102" s="15" t="s">
        <v>1078</v>
      </c>
      <c r="E102" s="33">
        <f>-4-19/60-19/3600</f>
        <v>-4.3219444444444441</v>
      </c>
      <c r="F102" s="33">
        <f>15+18/60+43/3600</f>
        <v>15.311944444444444</v>
      </c>
      <c r="G102" s="25" t="s">
        <v>1363</v>
      </c>
      <c r="H102" s="19">
        <f>VLOOKUP( $A102, Sovereignty!$A$2:$L$510, 12, 0 )</f>
        <v>0</v>
      </c>
    </row>
    <row r="103" spans="1:8" x14ac:dyDescent="0.2">
      <c r="A103" s="15" t="s">
        <v>1077</v>
      </c>
      <c r="B103" s="15">
        <v>19081115</v>
      </c>
      <c r="C103" s="15">
        <v>19230101</v>
      </c>
      <c r="D103" s="15" t="s">
        <v>1075</v>
      </c>
      <c r="E103" s="33">
        <f>-5-51/60</f>
        <v>-5.85</v>
      </c>
      <c r="F103" s="33">
        <f>13+3/60</f>
        <v>13.05</v>
      </c>
      <c r="G103" s="25" t="s">
        <v>1362</v>
      </c>
      <c r="H103" s="19">
        <f>VLOOKUP( $A103, Sovereignty!$A$2:$L$510, 12, 0 )</f>
        <v>0</v>
      </c>
    </row>
    <row r="104" spans="1:8" x14ac:dyDescent="0.2">
      <c r="A104" s="15" t="s">
        <v>1365</v>
      </c>
      <c r="B104" s="15">
        <v>18860501</v>
      </c>
      <c r="C104" s="15">
        <v>19081115</v>
      </c>
      <c r="D104" s="15" t="s">
        <v>1075</v>
      </c>
      <c r="E104" s="33">
        <f>-5-51/60</f>
        <v>-5.85</v>
      </c>
      <c r="F104" s="33">
        <f>13+3/60</f>
        <v>13.05</v>
      </c>
      <c r="G104" s="25" t="s">
        <v>1362</v>
      </c>
      <c r="H104" s="19">
        <f>VLOOKUP( $A104, Sovereignty!$A$2:$L$510, 12, 0 )</f>
        <v>0</v>
      </c>
    </row>
    <row r="105" spans="1:8" x14ac:dyDescent="0.2">
      <c r="A105" s="15" t="s">
        <v>1365</v>
      </c>
      <c r="B105" s="15">
        <v>18850701</v>
      </c>
      <c r="C105" s="15">
        <v>18860501</v>
      </c>
      <c r="D105" s="15" t="s">
        <v>1074</v>
      </c>
      <c r="E105" s="33">
        <f>-5.7936</f>
        <v>-5.7935999999999996</v>
      </c>
      <c r="F105" s="33">
        <f>13.4812</f>
        <v>13.481199999999999</v>
      </c>
      <c r="G105" s="25" t="s">
        <v>1364</v>
      </c>
      <c r="H105" s="19">
        <f>VLOOKUP( $A105, Sovereignty!$A$2:$L$510, 12, 0 )</f>
        <v>0</v>
      </c>
    </row>
    <row r="106" spans="1:8" x14ac:dyDescent="0.2">
      <c r="A106" s="15" t="s">
        <v>912</v>
      </c>
      <c r="B106" s="15">
        <v>19611001</v>
      </c>
      <c r="C106" s="15">
        <v>20261231</v>
      </c>
      <c r="D106" s="15" t="s">
        <v>225</v>
      </c>
      <c r="E106" s="33">
        <f>3+51/60+59/3600</f>
        <v>3.8663888888888889</v>
      </c>
      <c r="F106" s="33">
        <f>11+31/60+14/3600</f>
        <v>11.520555555555557</v>
      </c>
      <c r="G106" s="25" t="s">
        <v>1366</v>
      </c>
      <c r="H106" s="19">
        <f>VLOOKUP( $A106, Sovereignty!$A$2:$L$510, 12, 0 )</f>
        <v>0</v>
      </c>
    </row>
    <row r="107" spans="1:8" x14ac:dyDescent="0.2">
      <c r="A107" s="15" t="s">
        <v>1137</v>
      </c>
      <c r="B107" s="15">
        <v>19160720</v>
      </c>
      <c r="C107" s="15">
        <v>19611001</v>
      </c>
      <c r="D107" s="15" t="s">
        <v>1133</v>
      </c>
      <c r="E107" s="33">
        <f>4+10/60</f>
        <v>4.166666666666667</v>
      </c>
      <c r="F107" s="33">
        <f>9+14/60</f>
        <v>9.2333333333333325</v>
      </c>
      <c r="G107" s="25" t="s">
        <v>1368</v>
      </c>
      <c r="H107" s="19">
        <f>VLOOKUP( $A107, Sovereignty!$A$2:$L$510, 12, 0 )</f>
        <v>0</v>
      </c>
    </row>
    <row r="108" spans="1:8" x14ac:dyDescent="0.2">
      <c r="A108" s="15" t="s">
        <v>1136</v>
      </c>
      <c r="B108" s="15">
        <v>19160720</v>
      </c>
      <c r="C108" s="15">
        <v>19600101</v>
      </c>
      <c r="D108" s="15" t="s">
        <v>225</v>
      </c>
      <c r="E108" s="33">
        <f>3+51/60+59/3600</f>
        <v>3.8663888888888889</v>
      </c>
      <c r="F108" s="33">
        <f>11+31/60+14/3600</f>
        <v>11.520555555555557</v>
      </c>
      <c r="G108" s="25" t="s">
        <v>1366</v>
      </c>
      <c r="H108" s="19">
        <f>VLOOKUP( $A108, Sovereignty!$A$2:$L$510, 12, 0 )</f>
        <v>0</v>
      </c>
    </row>
    <row r="109" spans="1:8" x14ac:dyDescent="0.2">
      <c r="A109" s="15" t="s">
        <v>1135</v>
      </c>
      <c r="B109" s="15">
        <v>18840817</v>
      </c>
      <c r="C109" s="15">
        <v>19160720</v>
      </c>
      <c r="D109" s="15" t="s">
        <v>1130</v>
      </c>
      <c r="E109" s="33">
        <f>3+51/60+59/3600</f>
        <v>3.8663888888888889</v>
      </c>
      <c r="F109" s="33">
        <f>11+31/60+14/3600</f>
        <v>11.520555555555557</v>
      </c>
      <c r="G109" s="25" t="s">
        <v>1366</v>
      </c>
      <c r="H109" s="19">
        <f>VLOOKUP( $A109, Sovereignty!$A$2:$L$510, 12, 0 )</f>
        <v>0</v>
      </c>
    </row>
    <row r="110" spans="1:8" x14ac:dyDescent="0.2">
      <c r="A110" s="15" t="s">
        <v>910</v>
      </c>
      <c r="B110" s="15">
        <v>19900321</v>
      </c>
      <c r="C110" s="15">
        <v>20261231</v>
      </c>
      <c r="D110" s="15" t="s">
        <v>324</v>
      </c>
      <c r="E110" s="33">
        <f>-22-34/60-12/3600</f>
        <v>-22.57</v>
      </c>
      <c r="F110" s="33">
        <f>17+5/60+1/3600</f>
        <v>17.083611111111111</v>
      </c>
      <c r="G110" s="25" t="s">
        <v>1369</v>
      </c>
      <c r="H110" s="19">
        <f>VLOOKUP( $A110, Sovereignty!$A$2:$L$510, 12, 0 )</f>
        <v>0</v>
      </c>
    </row>
    <row r="111" spans="1:8" x14ac:dyDescent="0.2">
      <c r="A111" s="15" t="s">
        <v>1116</v>
      </c>
      <c r="B111" s="15">
        <v>19150709</v>
      </c>
      <c r="C111" s="15">
        <v>19900321</v>
      </c>
      <c r="D111" s="15" t="s">
        <v>324</v>
      </c>
      <c r="E111" s="33">
        <f t="shared" ref="E111:E112" si="6">-22-34/60-12/3600</f>
        <v>-22.57</v>
      </c>
      <c r="F111" s="33">
        <f t="shared" ref="F111:F112" si="7">17+5/60+1/3600</f>
        <v>17.083611111111111</v>
      </c>
      <c r="G111" s="25" t="s">
        <v>1369</v>
      </c>
      <c r="H111" s="19">
        <f>VLOOKUP( $A111, Sovereignty!$A$2:$L$510, 12, 0 )</f>
        <v>0</v>
      </c>
    </row>
    <row r="112" spans="1:8" x14ac:dyDescent="0.2">
      <c r="A112" s="15" t="s">
        <v>1115</v>
      </c>
      <c r="B112" s="15">
        <v>18840807</v>
      </c>
      <c r="C112" s="15">
        <v>19150709</v>
      </c>
      <c r="D112" s="15" t="s">
        <v>1112</v>
      </c>
      <c r="E112" s="33">
        <f t="shared" si="6"/>
        <v>-22.57</v>
      </c>
      <c r="F112" s="33">
        <f t="shared" si="7"/>
        <v>17.083611111111111</v>
      </c>
      <c r="G112" s="25" t="s">
        <v>1369</v>
      </c>
      <c r="H112" s="19">
        <f>VLOOKUP( $A112, Sovereignty!$A$2:$L$510, 12, 0 )</f>
        <v>0</v>
      </c>
    </row>
    <row r="113" spans="1:8" x14ac:dyDescent="0.2">
      <c r="A113" s="15" t="s">
        <v>919</v>
      </c>
      <c r="B113" s="15">
        <v>19660930</v>
      </c>
      <c r="C113" s="15">
        <v>20261231</v>
      </c>
      <c r="D113" s="15" t="s">
        <v>215</v>
      </c>
      <c r="E113" s="33">
        <f>-24-39/60-29/3600</f>
        <v>-24.658055555555553</v>
      </c>
      <c r="F113" s="33">
        <f>25+54/60+44/3600</f>
        <v>25.912222222222219</v>
      </c>
      <c r="G113" s="25" t="s">
        <v>1385</v>
      </c>
      <c r="H113" s="19">
        <f>VLOOKUP( $A113, Sovereignty!$A$2:$L$510, 12, 0 )</f>
        <v>0</v>
      </c>
    </row>
    <row r="114" spans="1:8" x14ac:dyDescent="0.2">
      <c r="A114" s="15" t="s">
        <v>1370</v>
      </c>
      <c r="B114" s="15">
        <v>19650101</v>
      </c>
      <c r="C114" s="15">
        <v>19660930</v>
      </c>
      <c r="D114" s="15" t="s">
        <v>215</v>
      </c>
      <c r="E114" s="33">
        <f>-24-39/60-29/3600</f>
        <v>-24.658055555555553</v>
      </c>
      <c r="F114" s="33">
        <f>25+54/60+44/3600</f>
        <v>25.912222222222219</v>
      </c>
      <c r="G114" s="25" t="s">
        <v>1385</v>
      </c>
      <c r="H114" s="19">
        <f>VLOOKUP( $A114, Sovereignty!$A$2:$L$510, 12, 0 )</f>
        <v>0</v>
      </c>
    </row>
    <row r="115" spans="1:8" x14ac:dyDescent="0.2">
      <c r="A115" s="15" t="s">
        <v>1370</v>
      </c>
      <c r="B115" s="15">
        <v>18850331</v>
      </c>
      <c r="C115" s="15">
        <v>19650101</v>
      </c>
      <c r="D115" s="15" t="s">
        <v>1387</v>
      </c>
      <c r="E115" s="33">
        <f>-25-51/60-56/3600</f>
        <v>-25.865555555555556</v>
      </c>
      <c r="F115" s="33">
        <f>25+38/60+37/3600</f>
        <v>25.64361111111111</v>
      </c>
      <c r="G115" s="25" t="s">
        <v>1388</v>
      </c>
      <c r="H115" s="19">
        <f>VLOOKUP( $A115, Sovereignty!$A$2:$L$510, 12, 0 )</f>
        <v>0</v>
      </c>
    </row>
    <row r="116" spans="1:8" x14ac:dyDescent="0.2">
      <c r="A116" s="15" t="s">
        <v>1371</v>
      </c>
      <c r="B116" s="15">
        <v>19100531</v>
      </c>
      <c r="C116" s="15">
        <v>20261231</v>
      </c>
      <c r="D116" s="15" t="s">
        <v>362</v>
      </c>
      <c r="E116" s="33">
        <f>-25-44/60-46/3600</f>
        <v>-25.746111111111112</v>
      </c>
      <c r="F116" s="33">
        <f>28+11/60+17/3600</f>
        <v>28.188055555555557</v>
      </c>
      <c r="G116" s="25" t="s">
        <v>1395</v>
      </c>
      <c r="H116" s="19">
        <f>VLOOKUP( $A116, Sovereignty!$A$2:$L$510, 12, 0 )</f>
        <v>0</v>
      </c>
    </row>
    <row r="117" spans="1:8" x14ac:dyDescent="0.2">
      <c r="A117" s="15" t="s">
        <v>922</v>
      </c>
      <c r="B117" s="15">
        <v>19680924</v>
      </c>
      <c r="C117" s="15">
        <v>20261231</v>
      </c>
      <c r="D117" s="15" t="s">
        <v>253</v>
      </c>
      <c r="E117" s="33">
        <f>-26-30/60</f>
        <v>-26.5</v>
      </c>
      <c r="F117" s="33">
        <f>31+30/60</f>
        <v>31.5</v>
      </c>
      <c r="G117" s="25" t="s">
        <v>1377</v>
      </c>
      <c r="H117" s="19">
        <f>VLOOKUP( $A117, Sovereignty!$A$2:$L$510, 12, 0 )</f>
        <v>0</v>
      </c>
    </row>
    <row r="118" spans="1:8" x14ac:dyDescent="0.2">
      <c r="A118" s="15" t="s">
        <v>1379</v>
      </c>
      <c r="B118" s="15">
        <v>19030101</v>
      </c>
      <c r="C118" s="15">
        <v>19680924</v>
      </c>
      <c r="D118" s="15" t="s">
        <v>253</v>
      </c>
      <c r="E118" s="33">
        <f>-26-30/60</f>
        <v>-26.5</v>
      </c>
      <c r="F118" s="33">
        <f>31+30/60</f>
        <v>31.5</v>
      </c>
      <c r="G118" s="25" t="s">
        <v>1377</v>
      </c>
      <c r="H118" s="19">
        <f>VLOOKUP( $A118, Sovereignty!$A$2:$L$510, 12, 0 )</f>
        <v>0</v>
      </c>
    </row>
    <row r="119" spans="1:8" x14ac:dyDescent="0.2">
      <c r="A119" s="15" t="s">
        <v>1376</v>
      </c>
      <c r="B119" s="15">
        <v>18430504</v>
      </c>
      <c r="C119" s="15">
        <v>19100531</v>
      </c>
      <c r="D119" s="15" t="s">
        <v>1382</v>
      </c>
      <c r="E119" s="33">
        <f>-29-37/60</f>
        <v>-29.616666666666667</v>
      </c>
      <c r="F119" s="33">
        <f>30+23/60</f>
        <v>30.383333333333333</v>
      </c>
      <c r="G119" s="25" t="s">
        <v>1383</v>
      </c>
      <c r="H119" s="19">
        <f>VLOOKUP( $A119, Sovereignty!$A$2:$L$510, 12, 0 )</f>
        <v>0</v>
      </c>
    </row>
    <row r="120" spans="1:8" x14ac:dyDescent="0.2">
      <c r="A120" s="15" t="s">
        <v>908</v>
      </c>
      <c r="B120" s="15">
        <v>19661004</v>
      </c>
      <c r="C120" s="15">
        <v>20261231</v>
      </c>
      <c r="D120" s="15" t="s">
        <v>302</v>
      </c>
      <c r="E120" s="33">
        <f>-29-18/60-54/3600</f>
        <v>-29.315000000000001</v>
      </c>
      <c r="F120" s="33">
        <f>27+29/60+13/3600</f>
        <v>27.486944444444447</v>
      </c>
      <c r="G120" s="25" t="s">
        <v>1374</v>
      </c>
      <c r="H120" s="19">
        <f>VLOOKUP( $A120, Sovereignty!$A$2:$L$510, 12, 0 )</f>
        <v>0</v>
      </c>
    </row>
    <row r="121" spans="1:8" x14ac:dyDescent="0.2">
      <c r="A121" s="15" t="s">
        <v>1373</v>
      </c>
      <c r="B121" s="15">
        <v>18840318</v>
      </c>
      <c r="C121" s="15">
        <v>19661004</v>
      </c>
      <c r="D121" s="15" t="s">
        <v>302</v>
      </c>
      <c r="E121" s="33">
        <f>-29-18/60-54/3600</f>
        <v>-29.315000000000001</v>
      </c>
      <c r="F121" s="33">
        <f>27+29/60+13/3600</f>
        <v>27.486944444444447</v>
      </c>
      <c r="G121" s="25" t="s">
        <v>1374</v>
      </c>
      <c r="H121" s="19">
        <f>VLOOKUP( $A121, Sovereignty!$A$2:$L$510, 12, 0 )</f>
        <v>0</v>
      </c>
    </row>
    <row r="122" spans="1:8" x14ac:dyDescent="0.2">
      <c r="A122" s="15" t="s">
        <v>1105</v>
      </c>
      <c r="B122" s="15">
        <v>18060108</v>
      </c>
      <c r="C122" s="15">
        <v>19100531</v>
      </c>
      <c r="D122" s="15" t="s">
        <v>1104</v>
      </c>
      <c r="E122" s="33">
        <f>-33-55/60-31/3600</f>
        <v>-33.925277777777772</v>
      </c>
      <c r="F122" s="33">
        <f>18+25/60+26/3600</f>
        <v>18.423888888888889</v>
      </c>
      <c r="G122" s="25" t="s">
        <v>1372</v>
      </c>
      <c r="H122" s="19">
        <f>VLOOKUP( $A122, Sovereignty!$A$2:$L$510, 12, 0 )</f>
        <v>0</v>
      </c>
    </row>
    <row r="123" spans="1:8" x14ac:dyDescent="0.2">
      <c r="A123" s="15" t="s">
        <v>1393</v>
      </c>
      <c r="B123" s="15">
        <v>19020531</v>
      </c>
      <c r="C123" s="15">
        <v>19100531</v>
      </c>
      <c r="D123" s="15" t="s">
        <v>362</v>
      </c>
      <c r="E123" s="33">
        <f>-25-44/60-46/3600</f>
        <v>-25.746111111111112</v>
      </c>
      <c r="F123" s="33">
        <f>28+11/60+17/3600</f>
        <v>28.188055555555557</v>
      </c>
      <c r="G123" s="25" t="s">
        <v>1395</v>
      </c>
      <c r="H123" s="19">
        <f>VLOOKUP( $A123, Sovereignty!$A$2:$L$510, 12, 0 )</f>
        <v>0</v>
      </c>
    </row>
    <row r="124" spans="1:8" x14ac:dyDescent="0.2">
      <c r="A124" s="15" t="s">
        <v>1392</v>
      </c>
      <c r="B124" s="15">
        <v>19020531</v>
      </c>
      <c r="C124" s="15">
        <v>19100531</v>
      </c>
      <c r="D124" s="15" t="s">
        <v>1397</v>
      </c>
      <c r="E124" s="33">
        <f>-29-7/60</f>
        <v>-29.116666666666667</v>
      </c>
      <c r="F124" s="33">
        <f>26+13/60</f>
        <v>26.216666666666665</v>
      </c>
      <c r="G124" s="25" t="s">
        <v>1398</v>
      </c>
      <c r="H124" s="19">
        <f>VLOOKUP( $A124, Sovereignty!$A$2:$L$510, 12, 0 )</f>
        <v>0</v>
      </c>
    </row>
    <row r="125" spans="1:8" x14ac:dyDescent="0.2">
      <c r="A125" s="15" t="s">
        <v>917</v>
      </c>
      <c r="B125" s="15">
        <v>19641024</v>
      </c>
      <c r="C125" s="15">
        <v>20261231</v>
      </c>
      <c r="D125" s="15" t="s">
        <v>397</v>
      </c>
      <c r="E125" s="33">
        <f t="shared" ref="E125:E126" si="8">-15-25/60</f>
        <v>-15.416666666666666</v>
      </c>
      <c r="F125" s="33">
        <f t="shared" ref="F125:F126" si="9">28+17/60</f>
        <v>28.283333333333335</v>
      </c>
      <c r="G125" s="25" t="s">
        <v>1409</v>
      </c>
      <c r="H125" s="19">
        <f>VLOOKUP( $A125, Sovereignty!$A$2:$L$510, 12, 0 )</f>
        <v>0</v>
      </c>
    </row>
    <row r="126" spans="1:8" x14ac:dyDescent="0.2">
      <c r="A126" s="15" t="s">
        <v>1407</v>
      </c>
      <c r="B126" s="15">
        <v>19631231</v>
      </c>
      <c r="C126" s="15">
        <v>19641024</v>
      </c>
      <c r="D126" s="15" t="s">
        <v>397</v>
      </c>
      <c r="E126" s="33">
        <f t="shared" si="8"/>
        <v>-15.416666666666666</v>
      </c>
      <c r="F126" s="33">
        <f t="shared" si="9"/>
        <v>28.283333333333335</v>
      </c>
      <c r="G126" s="25" t="s">
        <v>1409</v>
      </c>
      <c r="H126" s="19">
        <f>VLOOKUP( $A126, Sovereignty!$A$2:$L$510, 12, 0 )</f>
        <v>0</v>
      </c>
    </row>
    <row r="127" spans="1:8" x14ac:dyDescent="0.2">
      <c r="A127" s="15" t="s">
        <v>1183</v>
      </c>
      <c r="B127" s="15">
        <v>19530801</v>
      </c>
      <c r="C127" s="15">
        <v>19631231</v>
      </c>
      <c r="D127" s="15" t="s">
        <v>1181</v>
      </c>
      <c r="E127" s="33">
        <f>-17-49/50-45/3600</f>
        <v>-17.9925</v>
      </c>
      <c r="F127" s="33">
        <f>31+3/60+8/3600</f>
        <v>31.052222222222223</v>
      </c>
      <c r="G127" s="25" t="s">
        <v>1410</v>
      </c>
      <c r="H127" s="19">
        <f>VLOOKUP( $A127, Sovereignty!$A$2:$L$510, 12, 0 )</f>
        <v>0</v>
      </c>
    </row>
    <row r="128" spans="1:8" x14ac:dyDescent="0.2">
      <c r="A128" s="15" t="s">
        <v>1402</v>
      </c>
      <c r="B128" s="15">
        <v>19350101</v>
      </c>
      <c r="C128" s="15">
        <v>19530801</v>
      </c>
      <c r="D128" s="15" t="s">
        <v>397</v>
      </c>
      <c r="E128" s="33">
        <f>-15-25/60</f>
        <v>-15.416666666666666</v>
      </c>
      <c r="F128" s="33">
        <f>28+17/60</f>
        <v>28.283333333333335</v>
      </c>
      <c r="G128" s="25" t="s">
        <v>1409</v>
      </c>
      <c r="H128" s="19">
        <f>VLOOKUP( $A128, Sovereignty!$A$2:$L$510, 12, 0 )</f>
        <v>0</v>
      </c>
    </row>
    <row r="129" spans="1:8" x14ac:dyDescent="0.2">
      <c r="A129" s="15" t="s">
        <v>1402</v>
      </c>
      <c r="B129" s="15">
        <v>19240401</v>
      </c>
      <c r="C129" s="15">
        <v>19350101</v>
      </c>
      <c r="D129" s="15" t="s">
        <v>1178</v>
      </c>
      <c r="E129" s="33">
        <f>-17-51/60</f>
        <v>-17.850000000000001</v>
      </c>
      <c r="F129" s="33">
        <f>25+52/60</f>
        <v>25.866666666666667</v>
      </c>
      <c r="G129" s="25" t="s">
        <v>1408</v>
      </c>
      <c r="H129" s="19">
        <f>VLOOKUP( $A129, Sovereignty!$A$2:$L$510, 12, 0 )</f>
        <v>0</v>
      </c>
    </row>
    <row r="130" spans="1:8" x14ac:dyDescent="0.2">
      <c r="A130" s="15" t="s">
        <v>1411</v>
      </c>
      <c r="B130" s="15">
        <v>19820418</v>
      </c>
      <c r="C130" s="15">
        <v>20261231</v>
      </c>
      <c r="D130" s="15" t="s">
        <v>398</v>
      </c>
      <c r="E130" s="33">
        <f>-17-49/50-45/3600</f>
        <v>-17.9925</v>
      </c>
      <c r="F130" s="33">
        <f>31+3/60+8/3600</f>
        <v>31.052222222222223</v>
      </c>
      <c r="G130" s="25" t="s">
        <v>1410</v>
      </c>
      <c r="H130" s="19">
        <f>VLOOKUP( $A130, Sovereignty!$A$2:$L$510, 12, 0 )</f>
        <v>0</v>
      </c>
    </row>
    <row r="131" spans="1:8" x14ac:dyDescent="0.2">
      <c r="A131" s="15" t="s">
        <v>1411</v>
      </c>
      <c r="B131" s="15">
        <v>19800418</v>
      </c>
      <c r="C131" s="15">
        <v>19820418</v>
      </c>
      <c r="D131" s="15" t="s">
        <v>1181</v>
      </c>
      <c r="E131" s="33">
        <f>-17-49/50-45/3600</f>
        <v>-17.9925</v>
      </c>
      <c r="F131" s="33">
        <f>31+3/60+8/3600</f>
        <v>31.052222222222223</v>
      </c>
      <c r="G131" s="25" t="s">
        <v>1410</v>
      </c>
      <c r="H131" s="19">
        <f>VLOOKUP( $A131, Sovereignty!$A$2:$L$510, 12, 0 )</f>
        <v>0</v>
      </c>
    </row>
    <row r="132" spans="1:8" x14ac:dyDescent="0.2">
      <c r="A132" s="15" t="s">
        <v>1404</v>
      </c>
      <c r="B132" s="15">
        <v>19631231</v>
      </c>
      <c r="C132" s="15">
        <v>19800418</v>
      </c>
      <c r="D132" s="15" t="s">
        <v>1181</v>
      </c>
      <c r="E132" s="33">
        <f>-17-49/50-45/3600</f>
        <v>-17.9925</v>
      </c>
      <c r="F132" s="33">
        <f>31+3/60+8/3600</f>
        <v>31.052222222222223</v>
      </c>
      <c r="G132" s="25" t="s">
        <v>1410</v>
      </c>
      <c r="H132" s="19">
        <f>VLOOKUP( $A132, Sovereignty!$A$2:$L$510, 12, 0 )</f>
        <v>0</v>
      </c>
    </row>
    <row r="133" spans="1:8" x14ac:dyDescent="0.2">
      <c r="A133" s="15" t="s">
        <v>1405</v>
      </c>
      <c r="B133" s="15">
        <v>19230912</v>
      </c>
      <c r="C133" s="15">
        <v>19530801</v>
      </c>
      <c r="D133" s="15" t="s">
        <v>1181</v>
      </c>
      <c r="E133" s="33">
        <f>-17-49/50-45/3600</f>
        <v>-17.9925</v>
      </c>
      <c r="F133" s="33">
        <f>31+3/60+8/3600</f>
        <v>31.052222222222223</v>
      </c>
      <c r="G133" s="25" t="s">
        <v>1410</v>
      </c>
      <c r="H133" s="19">
        <f>VLOOKUP( $A133, Sovereignty!$A$2:$L$510, 12, 0 )</f>
        <v>0</v>
      </c>
    </row>
    <row r="134" spans="1:8" x14ac:dyDescent="0.2">
      <c r="A134" s="15" t="s">
        <v>930</v>
      </c>
      <c r="B134" s="15">
        <v>19760201</v>
      </c>
      <c r="C134" s="15">
        <v>20261231</v>
      </c>
      <c r="D134" s="15" t="s">
        <v>321</v>
      </c>
      <c r="E134" s="33">
        <f>-25-58/60</f>
        <v>-25.966666666666665</v>
      </c>
      <c r="F134" s="33">
        <f>32+35/60</f>
        <v>32.583333333333336</v>
      </c>
      <c r="G134" s="25" t="s">
        <v>1418</v>
      </c>
      <c r="H134" s="19">
        <f>VLOOKUP( $A134, Sovereignty!$A$2:$L$510, 12, 0 )</f>
        <v>0</v>
      </c>
    </row>
    <row r="135" spans="1:8" x14ac:dyDescent="0.2">
      <c r="A135" s="15" t="s">
        <v>930</v>
      </c>
      <c r="B135" s="15">
        <v>19750625</v>
      </c>
      <c r="C135" s="15">
        <v>19760201</v>
      </c>
      <c r="D135" s="15" t="s">
        <v>1417</v>
      </c>
      <c r="E135" s="33">
        <f>-25-58/60</f>
        <v>-25.966666666666665</v>
      </c>
      <c r="F135" s="33">
        <f>32+35/60</f>
        <v>32.583333333333336</v>
      </c>
      <c r="G135" s="25" t="s">
        <v>1418</v>
      </c>
      <c r="H135" s="19">
        <f>VLOOKUP( $A135, Sovereignty!$A$2:$L$510, 12, 0 )</f>
        <v>0</v>
      </c>
    </row>
    <row r="136" spans="1:8" x14ac:dyDescent="0.2">
      <c r="A136" s="15" t="s">
        <v>1414</v>
      </c>
      <c r="B136" s="15">
        <v>18980101</v>
      </c>
      <c r="C136" s="15">
        <v>19750625</v>
      </c>
      <c r="D136" s="15" t="s">
        <v>1417</v>
      </c>
      <c r="E136" s="33">
        <f>-25-58/60</f>
        <v>-25.966666666666665</v>
      </c>
      <c r="F136" s="33">
        <f>32+35/60</f>
        <v>32.583333333333336</v>
      </c>
      <c r="G136" s="25" t="s">
        <v>1418</v>
      </c>
      <c r="H136" s="19">
        <f>VLOOKUP( $A136, Sovereignty!$A$2:$L$510, 12, 0 )</f>
        <v>0</v>
      </c>
    </row>
    <row r="137" spans="1:8" x14ac:dyDescent="0.2">
      <c r="A137" s="15" t="s">
        <v>1414</v>
      </c>
      <c r="B137" s="15">
        <v>18910611</v>
      </c>
      <c r="C137" s="15">
        <v>18980101</v>
      </c>
      <c r="D137" s="15" t="s">
        <v>1415</v>
      </c>
      <c r="E137" s="33">
        <f>-15-1/60-57/3600</f>
        <v>-15.032500000000001</v>
      </c>
      <c r="F137" s="33">
        <f>40+44/60+11/3600</f>
        <v>40.736388888888889</v>
      </c>
      <c r="G137" s="25" t="s">
        <v>1416</v>
      </c>
      <c r="H137" s="19">
        <f>VLOOKUP( $A137, Sovereignty!$A$2:$L$510, 12, 0 )</f>
        <v>0</v>
      </c>
    </row>
    <row r="138" spans="1:8" x14ac:dyDescent="0.2">
      <c r="A138" s="15" t="s">
        <v>935</v>
      </c>
      <c r="B138" s="15">
        <v>19741012</v>
      </c>
      <c r="C138" s="15">
        <v>20261231</v>
      </c>
      <c r="D138" s="15" t="s">
        <v>375</v>
      </c>
      <c r="E138" s="33">
        <f>-6-10/60-23/3600</f>
        <v>-6.173055555555556</v>
      </c>
      <c r="F138" s="33">
        <f>35+44/60+31/3600</f>
        <v>35.741944444444442</v>
      </c>
      <c r="G138" s="25" t="s">
        <v>1432</v>
      </c>
      <c r="H138" s="19">
        <f>VLOOKUP( $A138, Sovereignty!$A$2:$L$510, 12, 0 )</f>
        <v>0</v>
      </c>
    </row>
    <row r="139" spans="1:8" x14ac:dyDescent="0.2">
      <c r="A139" s="15" t="s">
        <v>935</v>
      </c>
      <c r="B139" s="15">
        <v>19640426</v>
      </c>
      <c r="C139" s="15">
        <v>19741012</v>
      </c>
      <c r="D139" s="15" t="s">
        <v>1153</v>
      </c>
      <c r="E139" s="33">
        <f>-6-48/60-58/3600</f>
        <v>-6.8161111111111108</v>
      </c>
      <c r="F139" s="33">
        <f>39+16/60+49/3600</f>
        <v>39.280277777777776</v>
      </c>
      <c r="G139" s="25" t="s">
        <v>1424</v>
      </c>
      <c r="H139" s="19">
        <f>VLOOKUP( $A139, Sovereignty!$A$2:$L$510, 12, 0 )</f>
        <v>0</v>
      </c>
    </row>
    <row r="140" spans="1:8" x14ac:dyDescent="0.2">
      <c r="A140" s="15" t="s">
        <v>1419</v>
      </c>
      <c r="B140" s="15">
        <v>19611209</v>
      </c>
      <c r="C140" s="15">
        <v>19640426</v>
      </c>
      <c r="D140" s="15" t="s">
        <v>1153</v>
      </c>
      <c r="E140" s="33">
        <f>-6-48/60-58/3600</f>
        <v>-6.8161111111111108</v>
      </c>
      <c r="F140" s="33">
        <f>39+16/60+49/3600</f>
        <v>39.280277777777776</v>
      </c>
      <c r="G140" s="25" t="s">
        <v>1424</v>
      </c>
      <c r="H140" s="19">
        <f>VLOOKUP( $A140, Sovereignty!$A$2:$L$510, 12, 0 )</f>
        <v>0</v>
      </c>
    </row>
    <row r="141" spans="1:8" x14ac:dyDescent="0.2">
      <c r="A141" s="15" t="s">
        <v>1420</v>
      </c>
      <c r="B141" s="15">
        <v>19640112</v>
      </c>
      <c r="C141" s="15">
        <v>19640426</v>
      </c>
      <c r="D141" s="15" t="s">
        <v>1430</v>
      </c>
      <c r="E141" s="33">
        <f>-6.165</f>
        <v>-6.165</v>
      </c>
      <c r="F141" s="33">
        <f>39.199</f>
        <v>39.198999999999998</v>
      </c>
      <c r="G141" s="25" t="s">
        <v>1431</v>
      </c>
      <c r="H141" s="19">
        <f>VLOOKUP( $A141, Sovereignty!$A$2:$L$510, 12, 0 )</f>
        <v>0</v>
      </c>
    </row>
    <row r="142" spans="1:8" x14ac:dyDescent="0.2">
      <c r="A142" s="15" t="s">
        <v>1421</v>
      </c>
      <c r="B142" s="15">
        <v>18901201</v>
      </c>
      <c r="C142" s="15">
        <v>19631210</v>
      </c>
      <c r="D142" s="15" t="s">
        <v>1428</v>
      </c>
      <c r="E142" s="33">
        <f>-6-9/60-45/3600</f>
        <v>-6.1625000000000005</v>
      </c>
      <c r="F142" s="33">
        <f>39+11/60+29/3600</f>
        <v>39.191388888888888</v>
      </c>
      <c r="G142" s="25" t="s">
        <v>1429</v>
      </c>
      <c r="H142" s="19">
        <f>VLOOKUP( $A142, Sovereignty!$A$2:$L$510, 12, 0 )</f>
        <v>0</v>
      </c>
    </row>
    <row r="143" spans="1:8" x14ac:dyDescent="0.2">
      <c r="A143" s="15" t="s">
        <v>1420</v>
      </c>
      <c r="B143" s="15">
        <v>19631210</v>
      </c>
      <c r="C143" s="15">
        <v>19640112</v>
      </c>
      <c r="D143" s="15" t="s">
        <v>1428</v>
      </c>
      <c r="E143" s="33">
        <f>-6-9/60-45/3600</f>
        <v>-6.1625000000000005</v>
      </c>
      <c r="F143" s="33">
        <f>39+11/60+29/3600</f>
        <v>39.191388888888888</v>
      </c>
      <c r="G143" s="25" t="s">
        <v>1429</v>
      </c>
      <c r="H143" s="19">
        <f>VLOOKUP( $A143, Sovereignty!$A$2:$L$510, 12, 0 )</f>
        <v>0</v>
      </c>
    </row>
    <row r="144" spans="1:8" x14ac:dyDescent="0.2">
      <c r="A144" s="15" t="s">
        <v>1427</v>
      </c>
      <c r="B144" s="15">
        <v>18560406</v>
      </c>
      <c r="C144" s="15">
        <v>18901201</v>
      </c>
      <c r="D144" s="15" t="s">
        <v>1428</v>
      </c>
      <c r="E144" s="33">
        <f>-6-9/60-45/3600</f>
        <v>-6.1625000000000005</v>
      </c>
      <c r="F144" s="33">
        <f>39+11/60+29/3600</f>
        <v>39.191388888888888</v>
      </c>
      <c r="G144" s="25" t="s">
        <v>1429</v>
      </c>
      <c r="H144" s="19">
        <f>VLOOKUP( $A144, Sovereignty!$A$2:$L$510, 12, 0 )</f>
        <v>0</v>
      </c>
    </row>
    <row r="145" spans="1:8" x14ac:dyDescent="0.2">
      <c r="A145" s="15" t="s">
        <v>1425</v>
      </c>
      <c r="B145" s="15">
        <v>19160904</v>
      </c>
      <c r="C145" s="15">
        <v>19611209</v>
      </c>
      <c r="D145" s="15" t="s">
        <v>1153</v>
      </c>
      <c r="E145" s="33">
        <f>-6-48/60-58/3600</f>
        <v>-6.8161111111111108</v>
      </c>
      <c r="F145" s="33">
        <f>39+16/60+49/3600</f>
        <v>39.280277777777776</v>
      </c>
      <c r="G145" s="25" t="s">
        <v>1424</v>
      </c>
      <c r="H145" s="19">
        <f>VLOOKUP( $A145, Sovereignty!$A$2:$L$510, 12, 0 )</f>
        <v>0</v>
      </c>
    </row>
    <row r="146" spans="1:8" x14ac:dyDescent="0.2">
      <c r="A146" s="15" t="s">
        <v>927</v>
      </c>
      <c r="B146" s="15">
        <v>19600626</v>
      </c>
      <c r="C146" s="15">
        <v>20261231</v>
      </c>
      <c r="D146" s="15" t="s">
        <v>307</v>
      </c>
      <c r="E146" s="33">
        <f>-18-55/60-25/3600</f>
        <v>-18.923611111111111</v>
      </c>
      <c r="F146" s="33">
        <f>47+31/60+56/3600</f>
        <v>47.532222222222224</v>
      </c>
      <c r="G146" s="25" t="s">
        <v>1439</v>
      </c>
      <c r="H146" s="19">
        <f>VLOOKUP( $A146, Sovereignty!$A$2:$L$510, 12, 0 )</f>
        <v>0</v>
      </c>
    </row>
    <row r="147" spans="1:8" x14ac:dyDescent="0.2">
      <c r="A147" s="15" t="s">
        <v>1146</v>
      </c>
      <c r="B147" s="15">
        <v>19581014</v>
      </c>
      <c r="C147" s="15">
        <v>19600626</v>
      </c>
      <c r="D147" s="15" t="s">
        <v>1140</v>
      </c>
      <c r="E147" s="33">
        <f t="shared" ref="E147:E150" si="10">-18-55/60-25/3600</f>
        <v>-18.923611111111111</v>
      </c>
      <c r="F147" s="33">
        <f t="shared" ref="F147:F150" si="11">47+31/60+56/3600</f>
        <v>47.532222222222224</v>
      </c>
      <c r="G147" s="25" t="s">
        <v>1439</v>
      </c>
      <c r="H147" s="19">
        <f>VLOOKUP( $A147, Sovereignty!$A$2:$L$510, 12, 0 )</f>
        <v>0</v>
      </c>
    </row>
    <row r="148" spans="1:8" x14ac:dyDescent="0.2">
      <c r="A148" s="15" t="s">
        <v>1146</v>
      </c>
      <c r="B148" s="15">
        <v>18970228</v>
      </c>
      <c r="C148" s="15">
        <v>19581014</v>
      </c>
      <c r="D148" s="15" t="s">
        <v>1140</v>
      </c>
      <c r="E148" s="33">
        <f t="shared" si="10"/>
        <v>-18.923611111111111</v>
      </c>
      <c r="F148" s="33">
        <f t="shared" si="11"/>
        <v>47.532222222222224</v>
      </c>
      <c r="G148" s="25" t="s">
        <v>1439</v>
      </c>
      <c r="H148" s="19">
        <f>VLOOKUP( $A148, Sovereignty!$A$2:$L$510, 12, 0 )</f>
        <v>0</v>
      </c>
    </row>
    <row r="149" spans="1:8" x14ac:dyDescent="0.2">
      <c r="A149" s="15" t="s">
        <v>1146</v>
      </c>
      <c r="B149" s="15">
        <v>18820101</v>
      </c>
      <c r="C149" s="15">
        <v>18970228</v>
      </c>
      <c r="D149" s="15" t="s">
        <v>307</v>
      </c>
      <c r="E149" s="33">
        <f t="shared" si="10"/>
        <v>-18.923611111111111</v>
      </c>
      <c r="F149" s="33">
        <f t="shared" si="11"/>
        <v>47.532222222222224</v>
      </c>
      <c r="G149" s="25" t="s">
        <v>1439</v>
      </c>
      <c r="H149" s="19">
        <f>VLOOKUP( $A149, Sovereignty!$A$2:$L$510, 12, 0 )</f>
        <v>0</v>
      </c>
    </row>
    <row r="150" spans="1:8" x14ac:dyDescent="0.2">
      <c r="A150" s="15" t="s">
        <v>1143</v>
      </c>
      <c r="B150" s="15">
        <v>18170101</v>
      </c>
      <c r="C150" s="15">
        <v>18820101</v>
      </c>
      <c r="D150" s="15" t="s">
        <v>307</v>
      </c>
      <c r="E150" s="33">
        <f t="shared" si="10"/>
        <v>-18.923611111111111</v>
      </c>
      <c r="F150" s="33">
        <f t="shared" si="11"/>
        <v>47.532222222222224</v>
      </c>
      <c r="G150" s="25" t="s">
        <v>1439</v>
      </c>
      <c r="H150" s="19">
        <f>VLOOKUP( $A150, Sovereignty!$A$2:$L$510, 12, 0 )</f>
        <v>0</v>
      </c>
    </row>
    <row r="151" spans="1:8" x14ac:dyDescent="0.2">
      <c r="A151" s="15" t="s">
        <v>913</v>
      </c>
      <c r="B151" s="15">
        <v>19750706</v>
      </c>
      <c r="C151" s="15">
        <v>20261231</v>
      </c>
      <c r="D151" s="15" t="s">
        <v>232</v>
      </c>
      <c r="E151" s="33">
        <f>-11.699</f>
        <v>-11.699</v>
      </c>
      <c r="F151" s="33">
        <f>43.256</f>
        <v>43.256</v>
      </c>
      <c r="G151" s="25" t="s">
        <v>1440</v>
      </c>
      <c r="H151" s="19">
        <f>VLOOKUP( $A151, Sovereignty!$A$2:$L$510, 12, 0 )</f>
        <v>0</v>
      </c>
    </row>
    <row r="152" spans="1:8" x14ac:dyDescent="0.2">
      <c r="A152" s="15" t="s">
        <v>1141</v>
      </c>
      <c r="B152" s="15">
        <v>19120101</v>
      </c>
      <c r="C152" s="15">
        <v>19750706</v>
      </c>
      <c r="D152" s="15" t="s">
        <v>232</v>
      </c>
      <c r="E152" s="33">
        <f>-11.699</f>
        <v>-11.699</v>
      </c>
      <c r="F152" s="33">
        <f>43.256</f>
        <v>43.256</v>
      </c>
      <c r="G152" s="25" t="s">
        <v>1440</v>
      </c>
      <c r="H152" s="19">
        <f>VLOOKUP( $A152, Sovereignty!$A$2:$L$510, 12, 0 )</f>
        <v>0</v>
      </c>
    </row>
    <row r="153" spans="1:8" x14ac:dyDescent="0.2">
      <c r="A153" s="15" t="s">
        <v>916</v>
      </c>
      <c r="B153" s="15">
        <v>19680312</v>
      </c>
      <c r="C153" s="15">
        <v>20261231</v>
      </c>
      <c r="D153" s="15" t="s">
        <v>315</v>
      </c>
      <c r="E153" s="33">
        <f>-20.2</f>
        <v>-20.2</v>
      </c>
      <c r="F153" s="33">
        <f>57.5</f>
        <v>57.5</v>
      </c>
      <c r="G153" s="25" t="s">
        <v>1441</v>
      </c>
      <c r="H153" s="19">
        <f>VLOOKUP( $A153, Sovereignty!$A$2:$L$510, 12, 0 )</f>
        <v>0</v>
      </c>
    </row>
    <row r="154" spans="1:8" x14ac:dyDescent="0.2">
      <c r="A154" s="15" t="s">
        <v>1173</v>
      </c>
      <c r="B154" s="15">
        <v>18101203</v>
      </c>
      <c r="C154" s="15">
        <v>19680312</v>
      </c>
      <c r="D154" s="15" t="s">
        <v>315</v>
      </c>
      <c r="E154" s="33">
        <f t="shared" ref="E154:E155" si="12">-20.2</f>
        <v>-20.2</v>
      </c>
      <c r="F154" s="33">
        <f t="shared" ref="F154:F155" si="13">57.5</f>
        <v>57.5</v>
      </c>
      <c r="G154" s="25" t="s">
        <v>1441</v>
      </c>
      <c r="H154" s="19">
        <f>VLOOKUP( $A154, Sovereignty!$A$2:$L$510, 12, 0 )</f>
        <v>0</v>
      </c>
    </row>
    <row r="155" spans="1:8" x14ac:dyDescent="0.2">
      <c r="A155" s="15" t="s">
        <v>1176</v>
      </c>
      <c r="B155" s="15">
        <v>17150920</v>
      </c>
      <c r="C155" s="15">
        <v>18101203</v>
      </c>
      <c r="D155" s="15" t="s">
        <v>315</v>
      </c>
      <c r="E155" s="33">
        <f t="shared" si="12"/>
        <v>-20.2</v>
      </c>
      <c r="F155" s="33">
        <f t="shared" si="13"/>
        <v>57.5</v>
      </c>
      <c r="G155" s="25" t="s">
        <v>1441</v>
      </c>
      <c r="H155" s="19">
        <f>VLOOKUP( $A155, Sovereignty!$A$2:$L$510, 12, 0 )</f>
        <v>0</v>
      </c>
    </row>
    <row r="156" spans="1:8" x14ac:dyDescent="0.2">
      <c r="A156" s="15" t="s">
        <v>2248</v>
      </c>
      <c r="B156" s="15">
        <v>19750101</v>
      </c>
      <c r="C156" s="15">
        <v>20261231</v>
      </c>
      <c r="D156" s="15" t="s">
        <v>308</v>
      </c>
      <c r="E156" s="33">
        <f>-13-59/60</f>
        <v>-13.983333333333333</v>
      </c>
      <c r="F156" s="33">
        <f>33+47/60</f>
        <v>33.783333333333331</v>
      </c>
      <c r="G156" s="25" t="s">
        <v>1444</v>
      </c>
      <c r="H156" s="19">
        <f>VLOOKUP( $A156, Sovereignty!$A$2:$L$510, 12, 0 )</f>
        <v>0</v>
      </c>
    </row>
    <row r="157" spans="1:8" x14ac:dyDescent="0.2">
      <c r="A157" s="15" t="s">
        <v>2248</v>
      </c>
      <c r="B157" s="15">
        <v>19640706</v>
      </c>
      <c r="C157" s="15">
        <v>19750101</v>
      </c>
      <c r="D157" s="15" t="s">
        <v>1442</v>
      </c>
      <c r="E157" s="33">
        <f>-15-23/60-13/3600</f>
        <v>-15.386944444444444</v>
      </c>
      <c r="F157" s="33">
        <f>35+19/60+9/3600</f>
        <v>35.319166666666668</v>
      </c>
      <c r="G157" s="25" t="s">
        <v>1443</v>
      </c>
      <c r="H157" s="19">
        <f>VLOOKUP( $A157, Sovereignty!$A$2:$L$510, 12, 0 )</f>
        <v>0</v>
      </c>
    </row>
    <row r="158" spans="1:8" x14ac:dyDescent="0.2">
      <c r="A158" s="15" t="s">
        <v>1406</v>
      </c>
      <c r="B158" s="15">
        <v>19631231</v>
      </c>
      <c r="C158" s="15">
        <v>19640706</v>
      </c>
      <c r="D158" s="15" t="s">
        <v>1442</v>
      </c>
      <c r="E158" s="33">
        <f>-15-23/60-13/3600</f>
        <v>-15.386944444444444</v>
      </c>
      <c r="F158" s="33">
        <f>35+19/60+9/3600</f>
        <v>35.319166666666668</v>
      </c>
      <c r="G158" s="25" t="s">
        <v>1443</v>
      </c>
      <c r="H158" s="19">
        <f>VLOOKUP( $A158, Sovereignty!$A$2:$L$510, 12, 0 )</f>
        <v>0</v>
      </c>
    </row>
    <row r="159" spans="1:8" x14ac:dyDescent="0.2">
      <c r="A159" s="15" t="s">
        <v>2473</v>
      </c>
      <c r="B159" s="15">
        <v>18930101</v>
      </c>
      <c r="C159" s="15">
        <v>19631231</v>
      </c>
      <c r="D159" s="15" t="s">
        <v>1442</v>
      </c>
      <c r="E159" s="33">
        <f>-15-23/60-13/3600</f>
        <v>-15.386944444444444</v>
      </c>
      <c r="F159" s="33">
        <f>35+19/60+9/3600</f>
        <v>35.319166666666668</v>
      </c>
      <c r="G159" s="25" t="s">
        <v>1443</v>
      </c>
      <c r="H159" s="19">
        <f>VLOOKUP( $A159, Sovereignty!$A$2:$L$510, 12, 0 )</f>
        <v>0</v>
      </c>
    </row>
    <row r="160" spans="1:8" x14ac:dyDescent="0.2">
      <c r="A160" s="15" t="s">
        <v>914</v>
      </c>
      <c r="B160" s="15">
        <v>19620701</v>
      </c>
      <c r="C160" s="15">
        <v>20261231</v>
      </c>
      <c r="D160" s="15" t="s">
        <v>348</v>
      </c>
      <c r="E160" s="33">
        <f>-1-57/60-9/3600</f>
        <v>-1.9524999999999999</v>
      </c>
      <c r="F160" s="33">
        <f>30+6/60+54/3600</f>
        <v>30.115000000000002</v>
      </c>
      <c r="G160" s="25" t="s">
        <v>1448</v>
      </c>
      <c r="H160" s="19">
        <f>VLOOKUP( $A160, Sovereignty!$A$2:$L$510, 12, 0 )</f>
        <v>0</v>
      </c>
    </row>
    <row r="161" spans="1:8" x14ac:dyDescent="0.2">
      <c r="A161" s="15" t="s">
        <v>1449</v>
      </c>
      <c r="B161" s="15">
        <v>19160506</v>
      </c>
      <c r="C161" s="15">
        <v>19620701</v>
      </c>
      <c r="D161" s="15" t="s">
        <v>1156</v>
      </c>
      <c r="E161" s="33">
        <f>-6-48/60-58/3600</f>
        <v>-6.8161111111111108</v>
      </c>
      <c r="F161" s="33">
        <f>39+16/60+49/3600</f>
        <v>39.280277777777776</v>
      </c>
      <c r="H161" s="19">
        <f>VLOOKUP( $A161, Sovereignty!$A$2:$L$510, 12, 0 )</f>
        <v>0</v>
      </c>
    </row>
    <row r="162" spans="1:8" x14ac:dyDescent="0.2">
      <c r="A162" s="15" t="s">
        <v>1158</v>
      </c>
      <c r="B162" s="15">
        <v>18910101</v>
      </c>
      <c r="C162" s="15">
        <v>19160904</v>
      </c>
      <c r="D162" s="15" t="s">
        <v>1153</v>
      </c>
      <c r="E162" s="33">
        <f>-6-48/60-58/3600</f>
        <v>-6.8161111111111108</v>
      </c>
      <c r="F162" s="33">
        <f>39+16/60+49/3600</f>
        <v>39.280277777777776</v>
      </c>
      <c r="G162" s="25" t="s">
        <v>1424</v>
      </c>
      <c r="H162" s="19">
        <f>VLOOKUP( $A162, Sovereignty!$A$2:$L$510, 12, 0 )</f>
        <v>0</v>
      </c>
    </row>
    <row r="163" spans="1:8" x14ac:dyDescent="0.2">
      <c r="A163" s="15" t="s">
        <v>1158</v>
      </c>
      <c r="B163" s="15">
        <v>18850227</v>
      </c>
      <c r="C163" s="15">
        <v>18910101</v>
      </c>
      <c r="D163" s="15" t="s">
        <v>1152</v>
      </c>
      <c r="E163" s="33">
        <f>-6-26/60-40/3600</f>
        <v>-6.4444444444444446</v>
      </c>
      <c r="F163" s="33">
        <f>38+54/60+10/3600</f>
        <v>38.902777777777779</v>
      </c>
      <c r="G163" s="25" t="s">
        <v>1450</v>
      </c>
      <c r="H163" s="19">
        <f>VLOOKUP( $A163, Sovereignty!$A$2:$L$510, 12, 0 )</f>
        <v>0</v>
      </c>
    </row>
    <row r="164" spans="1:8" x14ac:dyDescent="0.2">
      <c r="A164" s="15" t="s">
        <v>936</v>
      </c>
      <c r="B164" s="15">
        <v>20190116</v>
      </c>
      <c r="C164" s="15">
        <v>20261231</v>
      </c>
      <c r="D164" s="15" t="s">
        <v>221</v>
      </c>
      <c r="E164" s="33">
        <f>-3-25/60-42/3600</f>
        <v>-3.4283333333333332</v>
      </c>
      <c r="F164" s="33">
        <f>29+55/60+30/3600</f>
        <v>29.925000000000001</v>
      </c>
      <c r="G164" s="25" t="s">
        <v>1451</v>
      </c>
      <c r="H164" s="19">
        <f>VLOOKUP( $A164, Sovereignty!$A$2:$L$510, 12, 0 )</f>
        <v>0</v>
      </c>
    </row>
    <row r="165" spans="1:8" x14ac:dyDescent="0.2">
      <c r="A165" s="15" t="s">
        <v>936</v>
      </c>
      <c r="B165" s="15">
        <v>19620701</v>
      </c>
      <c r="C165" s="15">
        <v>20190116</v>
      </c>
      <c r="D165" s="15" t="s">
        <v>1447</v>
      </c>
      <c r="E165" s="33">
        <f>-3-23/60</f>
        <v>-3.3833333333333333</v>
      </c>
      <c r="F165" s="33">
        <f>29+22/60</f>
        <v>29.366666666666667</v>
      </c>
      <c r="G165" s="25" t="s">
        <v>1446</v>
      </c>
      <c r="H165" s="19">
        <f>VLOOKUP( $A165, Sovereignty!$A$2:$L$510, 12, 0 )</f>
        <v>0</v>
      </c>
    </row>
    <row r="166" spans="1:8" x14ac:dyDescent="0.2">
      <c r="A166" s="15" t="s">
        <v>1455</v>
      </c>
      <c r="B166" s="15">
        <v>19631231</v>
      </c>
      <c r="C166" s="15">
        <v>20261231</v>
      </c>
      <c r="D166" s="15" t="s">
        <v>293</v>
      </c>
      <c r="E166" s="33">
        <f t="shared" ref="E166:E167" si="14">-1-17/60-11/3600</f>
        <v>-1.2863888888888888</v>
      </c>
      <c r="F166" s="33">
        <f t="shared" ref="F166:F167" si="15">36+49/60+2/3600</f>
        <v>36.817222222222227</v>
      </c>
      <c r="G166" s="25" t="s">
        <v>1453</v>
      </c>
      <c r="H166" s="19">
        <f>VLOOKUP( $A166, Sovereignty!$A$2:$L$510, 12, 0 )</f>
        <v>0</v>
      </c>
    </row>
    <row r="167" spans="1:8" x14ac:dyDescent="0.2">
      <c r="A167" s="15" t="s">
        <v>1171</v>
      </c>
      <c r="B167" s="15">
        <v>19200723</v>
      </c>
      <c r="C167" s="15">
        <v>19631231</v>
      </c>
      <c r="D167" s="15" t="s">
        <v>293</v>
      </c>
      <c r="E167" s="33">
        <f t="shared" si="14"/>
        <v>-1.2863888888888888</v>
      </c>
      <c r="F167" s="33">
        <f t="shared" si="15"/>
        <v>36.817222222222227</v>
      </c>
      <c r="G167" s="25" t="s">
        <v>1453</v>
      </c>
      <c r="H167" s="19">
        <f>VLOOKUP( $A167, Sovereignty!$A$2:$L$510, 12, 0 )</f>
        <v>0</v>
      </c>
    </row>
    <row r="168" spans="1:8" x14ac:dyDescent="0.2">
      <c r="A168" s="15" t="s">
        <v>1454</v>
      </c>
      <c r="B168" s="15">
        <v>19050101</v>
      </c>
      <c r="C168" s="15">
        <v>19200723</v>
      </c>
      <c r="D168" s="15" t="s">
        <v>293</v>
      </c>
      <c r="E168" s="33">
        <f>-1-17/60-11/3600</f>
        <v>-1.2863888888888888</v>
      </c>
      <c r="F168" s="33">
        <f>36+49/60+2/3600</f>
        <v>36.817222222222227</v>
      </c>
      <c r="G168" s="25" t="s">
        <v>1453</v>
      </c>
      <c r="H168" s="19">
        <f>VLOOKUP( $A168, Sovereignty!$A$2:$L$510, 12, 0 )</f>
        <v>0</v>
      </c>
    </row>
    <row r="169" spans="1:8" x14ac:dyDescent="0.2">
      <c r="A169" s="15" t="s">
        <v>1454</v>
      </c>
      <c r="B169" s="15">
        <v>18950701</v>
      </c>
      <c r="C169" s="15">
        <v>19050101</v>
      </c>
      <c r="D169" s="15" t="s">
        <v>1168</v>
      </c>
      <c r="E169" s="33">
        <f>-4-3/60</f>
        <v>-4.05</v>
      </c>
      <c r="F169" s="33">
        <f>39+40/60</f>
        <v>39.666666666666664</v>
      </c>
      <c r="G169" s="25" t="s">
        <v>1452</v>
      </c>
      <c r="H169" s="19">
        <f>VLOOKUP( $A169, Sovereignty!$A$2:$L$510, 12, 0 )</f>
        <v>0</v>
      </c>
    </row>
    <row r="170" spans="1:8" x14ac:dyDescent="0.2">
      <c r="A170" s="15" t="s">
        <v>1457</v>
      </c>
      <c r="B170" s="15">
        <v>19621009</v>
      </c>
      <c r="C170" s="15">
        <v>20261231</v>
      </c>
      <c r="D170" s="15" t="s">
        <v>385</v>
      </c>
      <c r="E170" s="33">
        <f>18/60+49/3600</f>
        <v>0.31361111111111112</v>
      </c>
      <c r="F170" s="33">
        <f>32+34/60+52/3600</f>
        <v>32.581111111111113</v>
      </c>
      <c r="G170" s="25" t="s">
        <v>1461</v>
      </c>
      <c r="H170" s="19">
        <f>VLOOKUP( $A170, Sovereignty!$A$2:$L$510, 12, 0 )</f>
        <v>0</v>
      </c>
    </row>
    <row r="171" spans="1:8" x14ac:dyDescent="0.2">
      <c r="A171" s="15" t="s">
        <v>1458</v>
      </c>
      <c r="B171" s="15">
        <v>18940618</v>
      </c>
      <c r="C171" s="15">
        <v>19621009</v>
      </c>
      <c r="D171" s="15" t="s">
        <v>1459</v>
      </c>
      <c r="E171" s="33">
        <f>3/60</f>
        <v>0.05</v>
      </c>
      <c r="F171" s="33">
        <f>32+27/60+36/3600</f>
        <v>32.46</v>
      </c>
      <c r="G171" s="25" t="s">
        <v>1462</v>
      </c>
      <c r="H171" s="19">
        <f>VLOOKUP( $A171, Sovereignty!$A$2:$L$510, 12, 0 )</f>
        <v>0</v>
      </c>
    </row>
    <row r="172" spans="1:8" x14ac:dyDescent="0.2">
      <c r="A172" s="15" t="s">
        <v>926</v>
      </c>
      <c r="B172" s="15">
        <v>19560101</v>
      </c>
      <c r="C172" s="15">
        <v>20261231</v>
      </c>
      <c r="D172" s="15" t="s">
        <v>367</v>
      </c>
      <c r="E172" s="33">
        <f>15+36/60</f>
        <v>15.6</v>
      </c>
      <c r="F172" s="33">
        <f>32+30/60</f>
        <v>32.5</v>
      </c>
      <c r="G172" s="25" t="s">
        <v>1465</v>
      </c>
      <c r="H172" s="19">
        <f>VLOOKUP( $A172, Sovereignty!$A$2:$L$510, 12, 0 )</f>
        <v>0</v>
      </c>
    </row>
    <row r="173" spans="1:8" x14ac:dyDescent="0.2">
      <c r="A173" s="15" t="s">
        <v>1463</v>
      </c>
      <c r="B173" s="15">
        <v>18990619</v>
      </c>
      <c r="C173" s="15">
        <v>19560101</v>
      </c>
      <c r="D173" s="15" t="s">
        <v>367</v>
      </c>
      <c r="E173" s="33">
        <f>15+36/60</f>
        <v>15.6</v>
      </c>
      <c r="F173" s="33">
        <f>32+30/60</f>
        <v>32.5</v>
      </c>
      <c r="G173" s="25" t="s">
        <v>1465</v>
      </c>
      <c r="H173" s="19">
        <f>VLOOKUP( $A173, Sovereignty!$A$2:$L$510, 12, 0 )</f>
        <v>0</v>
      </c>
    </row>
    <row r="174" spans="1:8" x14ac:dyDescent="0.2">
      <c r="A174" s="15" t="s">
        <v>929</v>
      </c>
      <c r="B174" s="15">
        <v>20110709</v>
      </c>
      <c r="C174" s="15">
        <v>20261231</v>
      </c>
      <c r="D174" s="15" t="s">
        <v>364</v>
      </c>
      <c r="E174" s="33">
        <f>4+51/60</f>
        <v>4.8499999999999996</v>
      </c>
      <c r="F174" s="33">
        <f>31+34/60</f>
        <v>31.566666666666666</v>
      </c>
      <c r="G174" s="25" t="s">
        <v>1467</v>
      </c>
      <c r="H174" s="19">
        <f>VLOOKUP( $A174, Sovereignty!$A$2:$L$510, 12, 0 )</f>
        <v>0</v>
      </c>
    </row>
    <row r="175" spans="1:8" x14ac:dyDescent="0.2">
      <c r="A175" s="15" t="s">
        <v>1470</v>
      </c>
      <c r="B175" s="15">
        <v>19610929</v>
      </c>
      <c r="C175" s="15">
        <v>20261231</v>
      </c>
      <c r="D175" s="15" t="s">
        <v>248</v>
      </c>
      <c r="E175" s="33">
        <f>30+2/60+40/3600</f>
        <v>30.044444444444448</v>
      </c>
      <c r="F175" s="33">
        <f>31+14/60+9/3600</f>
        <v>31.235833333333336</v>
      </c>
      <c r="G175" s="25" t="s">
        <v>1471</v>
      </c>
      <c r="H175" s="19">
        <f>VLOOKUP( $A175, Sovereignty!$A$2:$L$510, 12, 0 )</f>
        <v>0</v>
      </c>
    </row>
    <row r="176" spans="1:8" x14ac:dyDescent="0.2">
      <c r="A176" s="15" t="s">
        <v>1245</v>
      </c>
      <c r="B176" s="15">
        <v>19580222</v>
      </c>
      <c r="C176" s="15">
        <v>19610929</v>
      </c>
      <c r="D176" s="15" t="s">
        <v>248</v>
      </c>
      <c r="E176" s="33">
        <f t="shared" ref="E176:E179" si="16">30+2/60+40/3600</f>
        <v>30.044444444444448</v>
      </c>
      <c r="F176" s="33">
        <f t="shared" ref="F176:F179" si="17">31+14/60+9/3600</f>
        <v>31.235833333333336</v>
      </c>
      <c r="G176" s="25" t="s">
        <v>1471</v>
      </c>
      <c r="H176" s="19">
        <f>VLOOKUP( $A176, Sovereignty!$A$2:$L$510, 12, 0 )</f>
        <v>0</v>
      </c>
    </row>
    <row r="177" spans="1:8" x14ac:dyDescent="0.2">
      <c r="A177" s="15" t="s">
        <v>920</v>
      </c>
      <c r="B177" s="15">
        <v>19220228</v>
      </c>
      <c r="C177" s="15">
        <v>19580222</v>
      </c>
      <c r="D177" s="15" t="s">
        <v>248</v>
      </c>
      <c r="E177" s="33">
        <f t="shared" si="16"/>
        <v>30.044444444444448</v>
      </c>
      <c r="F177" s="33">
        <f t="shared" si="17"/>
        <v>31.235833333333336</v>
      </c>
      <c r="G177" s="25" t="s">
        <v>1471</v>
      </c>
      <c r="H177" s="19">
        <f>VLOOKUP( $A177, Sovereignty!$A$2:$L$510, 12, 0 )</f>
        <v>0</v>
      </c>
    </row>
    <row r="178" spans="1:8" x14ac:dyDescent="0.2">
      <c r="A178" s="15" t="s">
        <v>1241</v>
      </c>
      <c r="B178" s="15">
        <v>19141219</v>
      </c>
      <c r="C178" s="15">
        <v>19220228</v>
      </c>
      <c r="D178" s="15" t="s">
        <v>248</v>
      </c>
      <c r="E178" s="33">
        <f t="shared" si="16"/>
        <v>30.044444444444448</v>
      </c>
      <c r="F178" s="33">
        <f t="shared" si="17"/>
        <v>31.235833333333336</v>
      </c>
      <c r="G178" s="25" t="s">
        <v>1471</v>
      </c>
      <c r="H178" s="19">
        <f>VLOOKUP( $A178, Sovereignty!$A$2:$L$510, 12, 0 )</f>
        <v>0</v>
      </c>
    </row>
    <row r="179" spans="1:8" x14ac:dyDescent="0.2">
      <c r="A179" s="15" t="s">
        <v>1240</v>
      </c>
      <c r="B179" s="15">
        <v>18050101</v>
      </c>
      <c r="C179" s="15">
        <v>19141219</v>
      </c>
      <c r="D179" s="15" t="s">
        <v>248</v>
      </c>
      <c r="E179" s="33">
        <f t="shared" si="16"/>
        <v>30.044444444444448</v>
      </c>
      <c r="F179" s="33">
        <f t="shared" si="17"/>
        <v>31.235833333333336</v>
      </c>
      <c r="G179" s="25" t="s">
        <v>1471</v>
      </c>
      <c r="H179" s="19">
        <f>VLOOKUP( $A179, Sovereignty!$A$2:$L$510, 12, 0 )</f>
        <v>0</v>
      </c>
    </row>
    <row r="180" spans="1:8" x14ac:dyDescent="0.2">
      <c r="A180" s="15" t="s">
        <v>911</v>
      </c>
      <c r="B180" s="15">
        <v>19511224</v>
      </c>
      <c r="C180" s="15">
        <v>20261231</v>
      </c>
      <c r="D180" s="15" t="s">
        <v>304</v>
      </c>
      <c r="E180" s="33">
        <f>32+53/60+14/3600</f>
        <v>32.887222222222221</v>
      </c>
      <c r="F180" s="33">
        <f>13+11/60+29/3600</f>
        <v>13.191388888888889</v>
      </c>
      <c r="G180" s="25" t="s">
        <v>1481</v>
      </c>
      <c r="H180" s="19">
        <f>VLOOKUP( $A180, Sovereignty!$A$2:$L$510, 12, 0 )</f>
        <v>0</v>
      </c>
    </row>
    <row r="181" spans="1:8" x14ac:dyDescent="0.2">
      <c r="A181" s="15" t="s">
        <v>1476</v>
      </c>
      <c r="B181" s="15">
        <v>19430513</v>
      </c>
      <c r="C181" s="15">
        <v>19511224</v>
      </c>
      <c r="D181" s="15" t="s">
        <v>304</v>
      </c>
      <c r="E181" s="33">
        <f>32+53/60+14/3600</f>
        <v>32.887222222222221</v>
      </c>
      <c r="F181" s="33">
        <f>13+11/60+29/3600</f>
        <v>13.191388888888889</v>
      </c>
      <c r="G181" s="25" t="s">
        <v>1481</v>
      </c>
      <c r="H181" s="19">
        <f>VLOOKUP( $A181, Sovereignty!$A$2:$L$510, 12, 0 )</f>
        <v>0</v>
      </c>
    </row>
    <row r="182" spans="1:8" x14ac:dyDescent="0.2">
      <c r="A182" s="15" t="s">
        <v>1477</v>
      </c>
      <c r="B182" s="15">
        <v>19430513</v>
      </c>
      <c r="C182" s="15">
        <v>19511224</v>
      </c>
      <c r="D182" s="15" t="s">
        <v>1475</v>
      </c>
      <c r="E182" s="33">
        <f>27+2/60+20/3600</f>
        <v>27.038888888888891</v>
      </c>
      <c r="F182" s="33">
        <f>14+25/60+35/3600</f>
        <v>14.426388888888889</v>
      </c>
      <c r="G182" s="25" t="s">
        <v>1480</v>
      </c>
      <c r="H182" s="19">
        <f>VLOOKUP( $A182, Sovereignty!$A$2:$L$510, 12, 0 )</f>
        <v>0</v>
      </c>
    </row>
    <row r="183" spans="1:8" x14ac:dyDescent="0.2">
      <c r="A183" s="15" t="s">
        <v>1478</v>
      </c>
      <c r="B183" s="15">
        <v>19340101</v>
      </c>
      <c r="C183" s="15">
        <v>19430513</v>
      </c>
      <c r="D183" s="15" t="s">
        <v>304</v>
      </c>
      <c r="E183" s="33">
        <f>32+53/60+14/3600</f>
        <v>32.887222222222221</v>
      </c>
      <c r="F183" s="33">
        <f>13+11/60+29/3600</f>
        <v>13.191388888888889</v>
      </c>
      <c r="G183" s="25" t="s">
        <v>1481</v>
      </c>
      <c r="H183" s="19">
        <f>VLOOKUP( $A183, Sovereignty!$A$2:$L$510, 12, 0 )</f>
        <v>0</v>
      </c>
    </row>
    <row r="184" spans="1:8" x14ac:dyDescent="0.2">
      <c r="A184" s="15" t="s">
        <v>1127</v>
      </c>
      <c r="B184" s="15">
        <v>19111111</v>
      </c>
      <c r="C184" s="15">
        <v>19340101</v>
      </c>
      <c r="D184" s="15" t="s">
        <v>1120</v>
      </c>
      <c r="E184" s="33">
        <f>32+7/60</f>
        <v>32.116666666666667</v>
      </c>
      <c r="F184" s="33">
        <f>20+4/60</f>
        <v>20.066666666666666</v>
      </c>
      <c r="G184" s="25" t="s">
        <v>1482</v>
      </c>
      <c r="H184" s="19">
        <f>VLOOKUP( $A184, Sovereignty!$A$2:$L$510, 12, 0 )</f>
        <v>0</v>
      </c>
    </row>
    <row r="185" spans="1:8" x14ac:dyDescent="0.2">
      <c r="A185" s="15" t="s">
        <v>1126</v>
      </c>
      <c r="B185" s="15">
        <v>19111111</v>
      </c>
      <c r="C185" s="15">
        <v>19340101</v>
      </c>
      <c r="D185" s="15" t="s">
        <v>304</v>
      </c>
      <c r="E185" s="33">
        <f>32+53/60+14/3600</f>
        <v>32.887222222222221</v>
      </c>
      <c r="F185" s="33">
        <f>13+11/60+29/3600</f>
        <v>13.191388888888889</v>
      </c>
      <c r="G185" s="25" t="s">
        <v>1481</v>
      </c>
      <c r="H185" s="19">
        <f>VLOOKUP( $A185, Sovereignty!$A$2:$L$510, 12, 0 )</f>
        <v>0</v>
      </c>
    </row>
    <row r="186" spans="1:8" x14ac:dyDescent="0.2">
      <c r="A186" s="15" t="s">
        <v>924</v>
      </c>
      <c r="B186" s="15">
        <v>19560320</v>
      </c>
      <c r="C186" s="15">
        <v>20261231</v>
      </c>
      <c r="D186" s="15" t="s">
        <v>381</v>
      </c>
      <c r="E186" s="33">
        <f>36+48/60+23/3600</f>
        <v>36.806388888888883</v>
      </c>
      <c r="F186" s="33">
        <f>10+10/60+54/3600</f>
        <v>10.181666666666667</v>
      </c>
      <c r="G186" s="25" t="s">
        <v>1485</v>
      </c>
      <c r="H186" s="19">
        <f>VLOOKUP( $A186, Sovereignty!$A$2:$L$510, 12, 0 )</f>
        <v>0</v>
      </c>
    </row>
    <row r="187" spans="1:8" x14ac:dyDescent="0.2">
      <c r="A187" s="15" t="s">
        <v>1228</v>
      </c>
      <c r="B187" s="15">
        <v>18810512</v>
      </c>
      <c r="C187" s="15">
        <v>19560320</v>
      </c>
      <c r="D187" s="15" t="s">
        <v>381</v>
      </c>
      <c r="E187" s="33">
        <f>36+48/60+23/3600</f>
        <v>36.806388888888883</v>
      </c>
      <c r="F187" s="33">
        <f>10+10/60+54/3600</f>
        <v>10.181666666666667</v>
      </c>
      <c r="G187" s="25" t="s">
        <v>1485</v>
      </c>
      <c r="H187" s="19">
        <f>VLOOKUP( $A187, Sovereignty!$A$2:$L$510, 12, 0 )</f>
        <v>0</v>
      </c>
    </row>
    <row r="188" spans="1:8" x14ac:dyDescent="0.2">
      <c r="A188" s="15" t="s">
        <v>921</v>
      </c>
      <c r="B188" s="15">
        <v>19620705</v>
      </c>
      <c r="C188" s="15">
        <v>20261231</v>
      </c>
      <c r="D188" s="15" t="s">
        <v>191</v>
      </c>
      <c r="E188" s="33">
        <f>36+43/60+57/3600</f>
        <v>36.732500000000002</v>
      </c>
      <c r="F188" s="33">
        <f>3+5/60+14/3600</f>
        <v>3.0872222222222225</v>
      </c>
      <c r="G188" s="25" t="s">
        <v>1487</v>
      </c>
      <c r="H188" s="19">
        <f>VLOOKUP( $A188, Sovereignty!$A$2:$L$510, 12, 0 )</f>
        <v>0</v>
      </c>
    </row>
    <row r="189" spans="1:8" x14ac:dyDescent="0.2">
      <c r="A189" s="15" t="s">
        <v>1237</v>
      </c>
      <c r="B189" s="15">
        <v>18300705</v>
      </c>
      <c r="C189" s="15">
        <v>19620705</v>
      </c>
      <c r="D189" s="15" t="s">
        <v>191</v>
      </c>
      <c r="E189" s="33">
        <f>36+43/60+57/3600</f>
        <v>36.732500000000002</v>
      </c>
      <c r="F189" s="33">
        <f>3+5/60+14/3600</f>
        <v>3.0872222222222225</v>
      </c>
      <c r="G189" s="25" t="s">
        <v>1487</v>
      </c>
      <c r="H189" s="19">
        <f>VLOOKUP( $A189, Sovereignty!$A$2:$L$510, 12, 0 )</f>
        <v>0</v>
      </c>
    </row>
    <row r="190" spans="1:8" x14ac:dyDescent="0.2">
      <c r="A190" s="15" t="s">
        <v>932</v>
      </c>
      <c r="B190" s="15">
        <v>19560407</v>
      </c>
      <c r="C190" s="15">
        <v>20261231</v>
      </c>
      <c r="D190" s="15" t="s">
        <v>320</v>
      </c>
      <c r="E190" s="33">
        <f>34+1/60+16/3600</f>
        <v>34.021111111111111</v>
      </c>
      <c r="F190" s="33">
        <f>-6-50/60-29/3600</f>
        <v>-6.841388888888889</v>
      </c>
      <c r="G190" s="25" t="s">
        <v>1489</v>
      </c>
      <c r="H190" s="19">
        <f>VLOOKUP( $A190, Sovereignty!$A$2:$L$510, 12, 0 )</f>
        <v>0</v>
      </c>
    </row>
    <row r="191" spans="1:8" x14ac:dyDescent="0.2">
      <c r="A191" s="15" t="s">
        <v>1233</v>
      </c>
      <c r="B191" s="15">
        <v>19120330</v>
      </c>
      <c r="C191" s="15">
        <v>19560407</v>
      </c>
      <c r="D191" s="15" t="s">
        <v>320</v>
      </c>
      <c r="E191" s="33">
        <f>34+1/60+16/3600</f>
        <v>34.021111111111111</v>
      </c>
      <c r="F191" s="33">
        <f>-6-50/60-29/3600</f>
        <v>-6.841388888888889</v>
      </c>
      <c r="G191" s="25" t="s">
        <v>1489</v>
      </c>
      <c r="H191" s="19">
        <f>VLOOKUP( $A191, Sovereignty!$A$2:$L$510, 12, 0 )</f>
        <v>0</v>
      </c>
    </row>
    <row r="192" spans="1:8" x14ac:dyDescent="0.2">
      <c r="A192" s="15" t="s">
        <v>1232</v>
      </c>
      <c r="B192" s="15">
        <v>19121127</v>
      </c>
      <c r="C192" s="15">
        <v>19560407</v>
      </c>
      <c r="D192" s="15" t="s">
        <v>1231</v>
      </c>
      <c r="E192" s="33">
        <f>35+34/60</f>
        <v>35.56666666666667</v>
      </c>
      <c r="F192" s="33">
        <f>-5-22/60</f>
        <v>-5.3666666666666663</v>
      </c>
      <c r="G192" s="25" t="s">
        <v>1488</v>
      </c>
      <c r="H192" s="19">
        <f>VLOOKUP( $A192, Sovereignty!$A$2:$L$510, 12, 0 )</f>
        <v>0</v>
      </c>
    </row>
    <row r="193" spans="1:8" x14ac:dyDescent="0.2">
      <c r="A193" s="15" t="s">
        <v>2496</v>
      </c>
      <c r="B193" s="19">
        <v>19400101</v>
      </c>
      <c r="C193" s="19">
        <v>19751114</v>
      </c>
      <c r="D193" s="15" t="s">
        <v>2498</v>
      </c>
      <c r="E193" s="33">
        <f>27+9/60</f>
        <v>27.15</v>
      </c>
      <c r="F193" s="33">
        <f>-13-11/60-56/3600</f>
        <v>-13.19888888888889</v>
      </c>
      <c r="G193" s="25" t="s">
        <v>2499</v>
      </c>
      <c r="H193" s="19">
        <f>VLOOKUP( $A193, Sovereignty!$A$2:$L$510, 12, 0 )</f>
        <v>0</v>
      </c>
    </row>
    <row r="194" spans="1:8" x14ac:dyDescent="0.2">
      <c r="A194" s="15" t="s">
        <v>2496</v>
      </c>
      <c r="B194" s="19">
        <v>18841226</v>
      </c>
      <c r="C194" s="19">
        <v>19400101</v>
      </c>
      <c r="D194" s="15" t="s">
        <v>2500</v>
      </c>
      <c r="E194" s="33">
        <f>23+43/60</f>
        <v>23.716666666666665</v>
      </c>
      <c r="F194" s="33">
        <f>-15-57/60</f>
        <v>-15.95</v>
      </c>
      <c r="G194" s="25" t="s">
        <v>2501</v>
      </c>
      <c r="H194" s="19">
        <f>VLOOKUP( $A194, Sovereignty!$A$2:$L$510, 12, 0 )</f>
        <v>0</v>
      </c>
    </row>
    <row r="195" spans="1:8" x14ac:dyDescent="0.2">
      <c r="A195" s="15" t="s">
        <v>2363</v>
      </c>
      <c r="B195" s="15">
        <v>19460319</v>
      </c>
      <c r="C195" s="15">
        <v>20261231</v>
      </c>
      <c r="D195" s="15" t="s">
        <v>887</v>
      </c>
      <c r="E195" s="33">
        <f>-20-52/60-44/3600</f>
        <v>-20.878888888888888</v>
      </c>
      <c r="F195" s="33">
        <f>55+26/60+53/3600</f>
        <v>55.448055555555555</v>
      </c>
      <c r="G195" s="25" t="s">
        <v>1496</v>
      </c>
      <c r="H195" s="19">
        <f>VLOOKUP( $A195, Sovereignty!$A$2:$L$510, 12, 0 )</f>
        <v>0</v>
      </c>
    </row>
    <row r="196" spans="1:8" x14ac:dyDescent="0.2">
      <c r="A196" s="15" t="s">
        <v>884</v>
      </c>
      <c r="B196" s="15">
        <v>18410101</v>
      </c>
      <c r="C196" s="15">
        <v>20261231</v>
      </c>
      <c r="D196" s="15" t="s">
        <v>885</v>
      </c>
      <c r="E196" s="33">
        <f>-12-46/60-50/3600</f>
        <v>-12.780555555555557</v>
      </c>
      <c r="F196" s="33">
        <f>45+13/60+40/3600</f>
        <v>45.227777777777781</v>
      </c>
      <c r="G196" s="25" t="s">
        <v>1497</v>
      </c>
      <c r="H196" s="19">
        <f>VLOOKUP( $A196, Sovereignty!$A$2:$L$510, 12, 0 )</f>
        <v>0</v>
      </c>
    </row>
    <row r="197" spans="1:8" x14ac:dyDescent="0.2">
      <c r="A197" s="15" t="s">
        <v>1499</v>
      </c>
      <c r="B197" s="15">
        <v>18140530</v>
      </c>
      <c r="C197" s="15">
        <v>20261231</v>
      </c>
      <c r="D197" s="15" t="s">
        <v>886</v>
      </c>
      <c r="E197" s="33">
        <f>46+46/60+54/3600</f>
        <v>46.781666666666666</v>
      </c>
      <c r="F197" s="33">
        <f>-56-10/60-25/3600</f>
        <v>-56.173611111111107</v>
      </c>
      <c r="G197" s="25" t="s">
        <v>1498</v>
      </c>
      <c r="H197" s="19" t="str">
        <f>VLOOKUP( $A197, Sovereignty!$A$2:$L$510, 12, 0 )</f>
        <v>x</v>
      </c>
    </row>
    <row r="198" spans="1:8" x14ac:dyDescent="0.2">
      <c r="A198" s="15" t="s">
        <v>1520</v>
      </c>
      <c r="B198" s="15">
        <v>15170413</v>
      </c>
      <c r="C198" s="15">
        <v>18050101</v>
      </c>
      <c r="D198" s="15" t="s">
        <v>248</v>
      </c>
      <c r="E198" s="33">
        <f t="shared" ref="E198" si="18">30+2/60+40/3600</f>
        <v>30.044444444444448</v>
      </c>
      <c r="F198" s="33">
        <f t="shared" ref="F198" si="19">31+14/60+9/3600</f>
        <v>31.235833333333336</v>
      </c>
      <c r="G198" s="25" t="s">
        <v>1471</v>
      </c>
      <c r="H198" s="19">
        <f>VLOOKUP( $A198, Sovereignty!$A$2:$L$510, 12, 0 )</f>
        <v>0</v>
      </c>
    </row>
    <row r="199" spans="1:8" x14ac:dyDescent="0.2">
      <c r="A199" s="15" t="s">
        <v>1125</v>
      </c>
      <c r="B199" s="15">
        <v>15510101</v>
      </c>
      <c r="C199" s="15">
        <v>19111111</v>
      </c>
      <c r="D199" s="15" t="s">
        <v>304</v>
      </c>
      <c r="E199" s="33">
        <f>32+53/60+14/3600</f>
        <v>32.887222222222221</v>
      </c>
      <c r="F199" s="33">
        <f>13+11/60+29/3600</f>
        <v>13.191388888888889</v>
      </c>
      <c r="G199" s="25" t="s">
        <v>1481</v>
      </c>
      <c r="H199" s="19">
        <f>VLOOKUP( $A199, Sovereignty!$A$2:$L$510, 12, 0 )</f>
        <v>0</v>
      </c>
    </row>
    <row r="200" spans="1:8" x14ac:dyDescent="0.2">
      <c r="A200" s="15" t="s">
        <v>1523</v>
      </c>
      <c r="B200" s="15">
        <v>15740101</v>
      </c>
      <c r="C200" s="15">
        <v>18810512</v>
      </c>
      <c r="D200" s="15" t="s">
        <v>381</v>
      </c>
      <c r="E200" s="33">
        <f>36+48/60+23/3600</f>
        <v>36.806388888888883</v>
      </c>
      <c r="F200" s="33">
        <f>10+10/60+54/3600</f>
        <v>10.181666666666667</v>
      </c>
      <c r="G200" s="25" t="s">
        <v>1485</v>
      </c>
      <c r="H200" s="19">
        <f>VLOOKUP( $A200, Sovereignty!$A$2:$L$510, 12, 0 )</f>
        <v>0</v>
      </c>
    </row>
    <row r="201" spans="1:8" x14ac:dyDescent="0.2">
      <c r="A201" s="15" t="s">
        <v>1525</v>
      </c>
      <c r="B201" s="15">
        <v>15160101</v>
      </c>
      <c r="C201" s="15">
        <v>18300705</v>
      </c>
      <c r="D201" s="15" t="s">
        <v>191</v>
      </c>
      <c r="E201" s="33">
        <f>36+43/60+57/3600</f>
        <v>36.732500000000002</v>
      </c>
      <c r="F201" s="33">
        <f>3+5/60+14/3600</f>
        <v>3.0872222222222225</v>
      </c>
      <c r="G201" s="25" t="s">
        <v>1487</v>
      </c>
      <c r="H201" s="19">
        <f>VLOOKUP( $A201, Sovereignty!$A$2:$L$510, 12, 0 )</f>
        <v>0</v>
      </c>
    </row>
    <row r="202" spans="1:8" x14ac:dyDescent="0.2">
      <c r="A202" s="15" t="s">
        <v>820</v>
      </c>
      <c r="B202" s="15">
        <v>19600421</v>
      </c>
      <c r="C202" s="15">
        <v>20261231</v>
      </c>
      <c r="D202" s="15" t="s">
        <v>216</v>
      </c>
      <c r="E202" s="33">
        <f>-15-47/60</f>
        <v>-15.783333333333333</v>
      </c>
      <c r="F202" s="33">
        <f>-47-52/60</f>
        <v>-47.866666666666667</v>
      </c>
      <c r="G202" s="25" t="s">
        <v>2337</v>
      </c>
      <c r="H202" s="19" t="str">
        <f>VLOOKUP( $A202, Sovereignty!$A$2:$L$510, 12, 0 )</f>
        <v>x</v>
      </c>
    </row>
    <row r="203" spans="1:8" x14ac:dyDescent="0.2">
      <c r="A203" s="15" t="s">
        <v>820</v>
      </c>
      <c r="B203" s="15">
        <v>18220907</v>
      </c>
      <c r="C203" s="15">
        <v>19600421</v>
      </c>
      <c r="D203" s="15" t="s">
        <v>655</v>
      </c>
      <c r="E203" s="33">
        <f>-22-54/60-40/3600</f>
        <v>-22.911111111111111</v>
      </c>
      <c r="F203" s="33">
        <f>-43-12/60-20/3600</f>
        <v>-43.205555555555556</v>
      </c>
      <c r="G203" s="25" t="s">
        <v>2339</v>
      </c>
      <c r="H203" s="19" t="str">
        <f>VLOOKUP( $A203, Sovereignty!$A$2:$L$510, 12, 0 )</f>
        <v>x</v>
      </c>
    </row>
    <row r="204" spans="1:8" x14ac:dyDescent="0.2">
      <c r="A204" s="15" t="s">
        <v>821</v>
      </c>
      <c r="B204" s="15">
        <v>18210426</v>
      </c>
      <c r="C204" s="15">
        <v>18220907</v>
      </c>
      <c r="D204" s="15" t="s">
        <v>343</v>
      </c>
      <c r="E204" s="33">
        <f>38+46/60</f>
        <v>38.766666666666666</v>
      </c>
      <c r="F204" s="33">
        <f>-9-9/60</f>
        <v>-9.15</v>
      </c>
      <c r="G204" s="25" t="s">
        <v>2017</v>
      </c>
      <c r="H204" s="19" t="str">
        <f>VLOOKUP( $A204, Sovereignty!$A$2:$L$510, 12, 0 )</f>
        <v>x</v>
      </c>
    </row>
    <row r="205" spans="1:8" x14ac:dyDescent="0.2">
      <c r="A205" s="15" t="s">
        <v>821</v>
      </c>
      <c r="B205" s="15">
        <v>18151216</v>
      </c>
      <c r="C205" s="15">
        <v>18210426</v>
      </c>
      <c r="D205" s="15" t="s">
        <v>655</v>
      </c>
      <c r="E205" s="33">
        <f>-22-54/60-40/3600</f>
        <v>-22.911111111111111</v>
      </c>
      <c r="F205" s="33">
        <f>-43-12/60-20/3600</f>
        <v>-43.205555555555556</v>
      </c>
      <c r="G205" s="25" t="s">
        <v>2339</v>
      </c>
      <c r="H205" s="19" t="str">
        <f>VLOOKUP( $A205, Sovereignty!$A$2:$L$510, 12, 0 )</f>
        <v>x</v>
      </c>
    </row>
    <row r="206" spans="1:8" x14ac:dyDescent="0.2">
      <c r="A206" s="15" t="s">
        <v>819</v>
      </c>
      <c r="B206" s="15">
        <v>17630101</v>
      </c>
      <c r="C206" s="15">
        <v>18151216</v>
      </c>
      <c r="D206" s="15" t="s">
        <v>655</v>
      </c>
      <c r="E206" s="33">
        <f>-22-54/60-40/3600</f>
        <v>-22.911111111111111</v>
      </c>
      <c r="F206" s="33">
        <f>-43-12/60-20/3600</f>
        <v>-43.205555555555556</v>
      </c>
      <c r="G206" s="25" t="s">
        <v>2339</v>
      </c>
      <c r="H206" s="19" t="str">
        <f>VLOOKUP( $A206, Sovereignty!$A$2:$L$510, 12, 0 )</f>
        <v>x</v>
      </c>
    </row>
    <row r="207" spans="1:8" x14ac:dyDescent="0.2">
      <c r="A207" s="15" t="s">
        <v>819</v>
      </c>
      <c r="B207" s="15">
        <v>15490101</v>
      </c>
      <c r="C207" s="15">
        <v>17630101</v>
      </c>
      <c r="D207" s="15" t="s">
        <v>654</v>
      </c>
      <c r="E207" s="33">
        <f>-12-58/60-29/3600</f>
        <v>-12.974722222222223</v>
      </c>
      <c r="F207" s="33">
        <f>-38-28/60-36/3600</f>
        <v>-38.476666666666667</v>
      </c>
      <c r="G207" s="25" t="s">
        <v>2338</v>
      </c>
      <c r="H207" s="19" t="str">
        <f>VLOOKUP( $A207, Sovereignty!$A$2:$L$510, 12, 0 )</f>
        <v>x</v>
      </c>
    </row>
    <row r="208" spans="1:8" x14ac:dyDescent="0.2">
      <c r="A208" s="15" t="s">
        <v>2377</v>
      </c>
      <c r="B208" s="15">
        <v>18250825</v>
      </c>
      <c r="C208" s="15">
        <v>20261231</v>
      </c>
      <c r="D208" s="15" t="s">
        <v>391</v>
      </c>
      <c r="E208" s="33">
        <f>-34-53/60</f>
        <v>-34.883333333333333</v>
      </c>
      <c r="F208" s="33">
        <f>-56-10/60</f>
        <v>-56.166666666666664</v>
      </c>
      <c r="G208" s="25" t="s">
        <v>2341</v>
      </c>
      <c r="H208" s="19" t="str">
        <f>VLOOKUP( $A208, Sovereignty!$A$2:$L$510, 12, 0 )</f>
        <v>x</v>
      </c>
    </row>
    <row r="209" spans="1:8" x14ac:dyDescent="0.2">
      <c r="A209" s="15" t="s">
        <v>790</v>
      </c>
      <c r="B209" s="15">
        <v>18170120</v>
      </c>
      <c r="C209" s="15">
        <v>18250825</v>
      </c>
      <c r="D209" s="15" t="s">
        <v>391</v>
      </c>
      <c r="E209" s="33">
        <f>-34-53/60</f>
        <v>-34.883333333333333</v>
      </c>
      <c r="F209" s="33">
        <f>-56-10/60</f>
        <v>-56.166666666666664</v>
      </c>
      <c r="G209" s="25" t="s">
        <v>2341</v>
      </c>
      <c r="H209" s="19" t="str">
        <f>VLOOKUP( $A209, Sovereignty!$A$2:$L$510, 12, 0 )</f>
        <v>x</v>
      </c>
    </row>
    <row r="210" spans="1:8" x14ac:dyDescent="0.2">
      <c r="A210" s="15" t="s">
        <v>2342</v>
      </c>
      <c r="B210" s="15">
        <v>18100525</v>
      </c>
      <c r="C210" s="15">
        <v>18160709</v>
      </c>
      <c r="D210" s="15" t="s">
        <v>197</v>
      </c>
      <c r="E210" s="33">
        <f>-34-36/60-14/3600</f>
        <v>-34.603888888888889</v>
      </c>
      <c r="F210" s="33">
        <f>-58-22/60-53/3600</f>
        <v>-58.381388888888893</v>
      </c>
      <c r="G210" s="25" t="s">
        <v>2343</v>
      </c>
      <c r="H210" s="19" t="str">
        <f>VLOOKUP( $A210, Sovereignty!$A$2:$L$510, 12, 0 )</f>
        <v>x</v>
      </c>
    </row>
    <row r="211" spans="1:8" x14ac:dyDescent="0.2">
      <c r="A211" s="15" t="s">
        <v>791</v>
      </c>
      <c r="B211" s="15">
        <v>17760801</v>
      </c>
      <c r="C211" s="15">
        <v>18100525</v>
      </c>
      <c r="D211" s="15" t="s">
        <v>197</v>
      </c>
      <c r="E211" s="33">
        <f>-34-36/60-14/3600</f>
        <v>-34.603888888888889</v>
      </c>
      <c r="F211" s="33">
        <f>-58-22/60-53/3600</f>
        <v>-58.381388888888893</v>
      </c>
      <c r="G211" s="25" t="s">
        <v>2343</v>
      </c>
      <c r="H211" s="19" t="str">
        <f>VLOOKUP( $A211, Sovereignty!$A$2:$L$510, 12, 0 )</f>
        <v>x</v>
      </c>
    </row>
    <row r="212" spans="1:8" x14ac:dyDescent="0.2">
      <c r="A212" s="15" t="s">
        <v>813</v>
      </c>
      <c r="B212" s="15">
        <v>18110514</v>
      </c>
      <c r="C212" s="15">
        <v>20261231</v>
      </c>
      <c r="D212" s="15" t="s">
        <v>339</v>
      </c>
      <c r="E212" s="33">
        <f>-25-16/60</f>
        <v>-25.266666666666666</v>
      </c>
      <c r="F212" s="33">
        <f>-57-40/60</f>
        <v>-57.666666666666664</v>
      </c>
      <c r="G212" s="25" t="s">
        <v>2344</v>
      </c>
      <c r="H212" s="19" t="str">
        <f>VLOOKUP( $A212, Sovereignty!$A$2:$L$510, 12, 0 )</f>
        <v>x</v>
      </c>
    </row>
    <row r="213" spans="1:8" x14ac:dyDescent="0.2">
      <c r="A213" s="15" t="s">
        <v>816</v>
      </c>
      <c r="B213" s="15">
        <v>18160709</v>
      </c>
      <c r="C213" s="15">
        <v>20261231</v>
      </c>
      <c r="D213" s="15" t="s">
        <v>197</v>
      </c>
      <c r="E213" s="33">
        <f>-34-36/60-14/3600</f>
        <v>-34.603888888888889</v>
      </c>
      <c r="F213" s="33">
        <f>-58-22/60-53/3600</f>
        <v>-58.381388888888893</v>
      </c>
      <c r="G213" s="25" t="s">
        <v>2343</v>
      </c>
      <c r="H213" s="19" t="str">
        <f>VLOOKUP( $A213, Sovereignty!$A$2:$L$510, 12, 0 )</f>
        <v>x</v>
      </c>
    </row>
    <row r="214" spans="1:8" x14ac:dyDescent="0.2">
      <c r="A214" s="15" t="s">
        <v>869</v>
      </c>
      <c r="B214" s="15">
        <v>18330103</v>
      </c>
      <c r="C214" s="15">
        <v>20261231</v>
      </c>
      <c r="D214" s="15" t="s">
        <v>867</v>
      </c>
      <c r="E214" s="33">
        <f>-51-41/60-43/3600</f>
        <v>-51.695277777777775</v>
      </c>
      <c r="F214" s="33">
        <f>-57-50/60-58/3600</f>
        <v>-57.849444444444444</v>
      </c>
      <c r="G214" s="25" t="s">
        <v>2345</v>
      </c>
      <c r="H214" s="19" t="str">
        <f>VLOOKUP( $A214, Sovereignty!$A$2:$L$510, 12, 0 )</f>
        <v>x</v>
      </c>
    </row>
    <row r="215" spans="1:8" x14ac:dyDescent="0.2">
      <c r="A215" s="15" t="s">
        <v>817</v>
      </c>
      <c r="B215" s="15">
        <v>18980101</v>
      </c>
      <c r="C215" s="15">
        <v>20261231</v>
      </c>
      <c r="D215" s="15" t="s">
        <v>213</v>
      </c>
      <c r="E215" s="33">
        <f>-16-29/60-45/3600</f>
        <v>-16.495833333333334</v>
      </c>
      <c r="F215" s="33">
        <f>-68-8/60</f>
        <v>-68.13333333333334</v>
      </c>
      <c r="G215" s="25" t="s">
        <v>2347</v>
      </c>
      <c r="H215" s="19" t="str">
        <f>VLOOKUP( $A215, Sovereignty!$A$2:$L$510, 12, 0 )</f>
        <v>x</v>
      </c>
    </row>
    <row r="216" spans="1:8" x14ac:dyDescent="0.2">
      <c r="A216" s="15" t="s">
        <v>817</v>
      </c>
      <c r="B216" s="15">
        <v>18250806</v>
      </c>
      <c r="C216" s="15">
        <v>20261231</v>
      </c>
      <c r="D216" s="15" t="s">
        <v>2346</v>
      </c>
      <c r="E216" s="33">
        <f>-19-2/60-51/3600</f>
        <v>-19.047500000000003</v>
      </c>
      <c r="F216" s="33">
        <f>-65-15/60-36/3600</f>
        <v>-65.260000000000005</v>
      </c>
      <c r="G216" s="25" t="s">
        <v>2348</v>
      </c>
      <c r="H216" s="19" t="str">
        <f>VLOOKUP( $A216, Sovereignty!$A$2:$L$510, 12, 0 )</f>
        <v>x</v>
      </c>
    </row>
    <row r="217" spans="1:8" x14ac:dyDescent="0.2">
      <c r="A217" s="15" t="s">
        <v>796</v>
      </c>
      <c r="B217" s="15">
        <v>18180212</v>
      </c>
      <c r="C217" s="15">
        <v>20261231</v>
      </c>
      <c r="D217" s="15" t="s">
        <v>229</v>
      </c>
      <c r="E217" s="33">
        <f>-33-26/60</f>
        <v>-33.43333333333333</v>
      </c>
      <c r="F217" s="33">
        <f>-70-40/60</f>
        <v>-70.666666666666671</v>
      </c>
      <c r="G217" s="25" t="s">
        <v>2349</v>
      </c>
      <c r="H217" s="19" t="str">
        <f>VLOOKUP( $A217, Sovereignty!$A$2:$L$510, 12, 0 )</f>
        <v>x</v>
      </c>
    </row>
    <row r="218" spans="1:8" x14ac:dyDescent="0.2">
      <c r="A218" s="15" t="s">
        <v>795</v>
      </c>
      <c r="B218" s="15">
        <v>15410101</v>
      </c>
      <c r="C218" s="15">
        <v>18180212</v>
      </c>
      <c r="D218" s="15" t="s">
        <v>229</v>
      </c>
      <c r="E218" s="33">
        <f>-33-26/60</f>
        <v>-33.43333333333333</v>
      </c>
      <c r="F218" s="33">
        <f>-70-40/60</f>
        <v>-70.666666666666671</v>
      </c>
      <c r="G218" s="25" t="s">
        <v>2349</v>
      </c>
      <c r="H218" s="19" t="str">
        <f>VLOOKUP( $A218, Sovereignty!$A$2:$L$510, 12, 0 )</f>
        <v>x</v>
      </c>
    </row>
    <row r="219" spans="1:8" x14ac:dyDescent="0.2">
      <c r="A219" s="15" t="s">
        <v>799</v>
      </c>
      <c r="B219" s="15">
        <v>18210728</v>
      </c>
      <c r="C219" s="15">
        <v>20261231</v>
      </c>
      <c r="D219" s="15" t="s">
        <v>340</v>
      </c>
      <c r="E219" s="33">
        <f>-12-2.6/60</f>
        <v>-12.043333333333333</v>
      </c>
      <c r="F219" s="33">
        <f>-77-1.7/60</f>
        <v>-77.028333333333336</v>
      </c>
      <c r="G219" s="25" t="s">
        <v>2350</v>
      </c>
      <c r="H219" s="19" t="str">
        <f>VLOOKUP( $A219, Sovereignty!$A$2:$L$510, 12, 0 )</f>
        <v>x</v>
      </c>
    </row>
    <row r="220" spans="1:8" x14ac:dyDescent="0.2">
      <c r="A220" s="15" t="s">
        <v>793</v>
      </c>
      <c r="B220" s="15">
        <v>15421120</v>
      </c>
      <c r="C220" s="15">
        <v>18210728</v>
      </c>
      <c r="D220" s="15" t="s">
        <v>340</v>
      </c>
      <c r="E220" s="33">
        <f>-12-2.6/60</f>
        <v>-12.043333333333333</v>
      </c>
      <c r="F220" s="33">
        <f>-77-1.7/60</f>
        <v>-77.028333333333336</v>
      </c>
      <c r="G220" s="25" t="s">
        <v>2350</v>
      </c>
      <c r="H220" s="19" t="str">
        <f>VLOOKUP( $A220, Sovereignty!$A$2:$L$510, 12, 0 )</f>
        <v>x</v>
      </c>
    </row>
    <row r="221" spans="1:8" x14ac:dyDescent="0.2">
      <c r="A221" s="15" t="s">
        <v>810</v>
      </c>
      <c r="B221" s="15">
        <v>18300503</v>
      </c>
      <c r="C221" s="15">
        <v>20261231</v>
      </c>
      <c r="D221" s="15" t="s">
        <v>247</v>
      </c>
      <c r="E221" s="33">
        <f>-13/60-12/3600</f>
        <v>-0.22</v>
      </c>
      <c r="F221" s="33">
        <f>-78-30/60-43/3600</f>
        <v>-78.511944444444438</v>
      </c>
      <c r="G221" s="25" t="s">
        <v>2351</v>
      </c>
      <c r="H221" s="19" t="str">
        <f>VLOOKUP( $A221, Sovereignty!$A$2:$L$510, 12, 0 )</f>
        <v>x</v>
      </c>
    </row>
    <row r="222" spans="1:8" x14ac:dyDescent="0.2">
      <c r="A222" s="15" t="s">
        <v>806</v>
      </c>
      <c r="B222" s="15">
        <v>18630508</v>
      </c>
      <c r="C222" s="15">
        <v>20261231</v>
      </c>
      <c r="D222" s="15" t="s">
        <v>231</v>
      </c>
      <c r="E222" s="33">
        <f>4+35/60</f>
        <v>4.583333333333333</v>
      </c>
      <c r="F222" s="33">
        <f>-74-4/60</f>
        <v>-74.066666666666663</v>
      </c>
      <c r="G222" s="25" t="s">
        <v>2122</v>
      </c>
      <c r="H222" s="19" t="str">
        <f>VLOOKUP( $A222, Sovereignty!$A$2:$L$510, 12, 0 )</f>
        <v>x</v>
      </c>
    </row>
    <row r="223" spans="1:8" x14ac:dyDescent="0.2">
      <c r="A223" s="15" t="s">
        <v>806</v>
      </c>
      <c r="B223" s="15">
        <v>18191217</v>
      </c>
      <c r="C223" s="15">
        <v>18630508</v>
      </c>
      <c r="D223" s="15" t="s">
        <v>659</v>
      </c>
      <c r="E223" s="33">
        <f t="shared" ref="E223:E224" si="20">4+35/60</f>
        <v>4.583333333333333</v>
      </c>
      <c r="F223" s="33">
        <f t="shared" ref="F223:F224" si="21">-74-4/60</f>
        <v>-74.066666666666663</v>
      </c>
      <c r="G223" s="25" t="s">
        <v>2122</v>
      </c>
      <c r="H223" s="19" t="str">
        <f>VLOOKUP( $A223, Sovereignty!$A$2:$L$510, 12, 0 )</f>
        <v>x</v>
      </c>
    </row>
    <row r="224" spans="1:8" x14ac:dyDescent="0.2">
      <c r="A224" s="15" t="s">
        <v>2120</v>
      </c>
      <c r="B224" s="15">
        <v>17170527</v>
      </c>
      <c r="C224" s="15">
        <v>18191217</v>
      </c>
      <c r="D224" s="15" t="s">
        <v>659</v>
      </c>
      <c r="E224" s="33">
        <f t="shared" si="20"/>
        <v>4.583333333333333</v>
      </c>
      <c r="F224" s="33">
        <f t="shared" si="21"/>
        <v>-74.066666666666663</v>
      </c>
      <c r="G224" s="25" t="s">
        <v>2122</v>
      </c>
      <c r="H224" s="19" t="str">
        <f>VLOOKUP( $A224, Sovereignty!$A$2:$L$510, 12, 0 )</f>
        <v>x</v>
      </c>
    </row>
    <row r="225" spans="1:8" x14ac:dyDescent="0.2">
      <c r="A225" s="15" t="s">
        <v>811</v>
      </c>
      <c r="B225" s="15">
        <v>18300113</v>
      </c>
      <c r="C225" s="15">
        <v>20261231</v>
      </c>
      <c r="D225" s="15" t="s">
        <v>394</v>
      </c>
      <c r="E225" s="33">
        <f>10+30/60+22/3600</f>
        <v>10.50611111111111</v>
      </c>
      <c r="F225" s="33">
        <f>-66-54/60-52/3600</f>
        <v>-66.914444444444456</v>
      </c>
      <c r="G225" s="25" t="s">
        <v>2352</v>
      </c>
      <c r="H225" s="19" t="str">
        <f>VLOOKUP( $A225, Sovereignty!$A$2:$L$510, 12, 0 )</f>
        <v>x</v>
      </c>
    </row>
    <row r="226" spans="1:8" x14ac:dyDescent="0.2">
      <c r="A226" s="15" t="s">
        <v>802</v>
      </c>
      <c r="B226" s="15">
        <v>19660526</v>
      </c>
      <c r="C226" s="15">
        <v>20261231</v>
      </c>
      <c r="D226" s="15" t="s">
        <v>272</v>
      </c>
      <c r="E226" s="33">
        <f>6+48/60+4/3600</f>
        <v>6.8011111111111111</v>
      </c>
      <c r="F226" s="33">
        <f>-58-9/60-18/3600</f>
        <v>-58.155000000000001</v>
      </c>
      <c r="G226" s="25" t="s">
        <v>2353</v>
      </c>
      <c r="H226" s="19" t="str">
        <f>VLOOKUP( $A226, Sovereignty!$A$2:$L$510, 12, 0 )</f>
        <v>x</v>
      </c>
    </row>
    <row r="227" spans="1:8" x14ac:dyDescent="0.2">
      <c r="A227" s="15" t="s">
        <v>801</v>
      </c>
      <c r="B227" s="15">
        <v>18310721</v>
      </c>
      <c r="C227" s="15">
        <v>19660526</v>
      </c>
      <c r="D227" s="15" t="s">
        <v>272</v>
      </c>
      <c r="E227" s="33">
        <f>6+48/60+4/3600</f>
        <v>6.8011111111111111</v>
      </c>
      <c r="F227" s="33">
        <f>-58-9/60-18/3600</f>
        <v>-58.155000000000001</v>
      </c>
      <c r="G227" s="25" t="s">
        <v>2353</v>
      </c>
      <c r="H227" s="19" t="str">
        <f>VLOOKUP( $A227, Sovereignty!$A$2:$L$510, 12, 0 )</f>
        <v>x</v>
      </c>
    </row>
    <row r="228" spans="1:8" x14ac:dyDescent="0.2">
      <c r="A228" s="15" t="s">
        <v>787</v>
      </c>
      <c r="B228" s="15">
        <v>19751125</v>
      </c>
      <c r="C228" s="15">
        <v>20261231</v>
      </c>
      <c r="D228" s="15" t="s">
        <v>368</v>
      </c>
      <c r="E228" s="33">
        <f>5+50/60</f>
        <v>5.833333333333333</v>
      </c>
      <c r="F228" s="33">
        <f>-55-10/60</f>
        <v>-55.166666666666664</v>
      </c>
      <c r="G228" s="25" t="s">
        <v>2355</v>
      </c>
      <c r="H228" s="19" t="str">
        <f>VLOOKUP( $A228, Sovereignty!$A$2:$L$510, 12, 0 )</f>
        <v>x</v>
      </c>
    </row>
    <row r="229" spans="1:8" x14ac:dyDescent="0.2">
      <c r="A229" s="15" t="s">
        <v>786</v>
      </c>
      <c r="B229" s="15">
        <v>19541215</v>
      </c>
      <c r="C229" s="15">
        <v>19751125</v>
      </c>
      <c r="D229" s="15" t="s">
        <v>368</v>
      </c>
      <c r="E229" s="33">
        <f t="shared" ref="E229:E230" si="22">5+50/60</f>
        <v>5.833333333333333</v>
      </c>
      <c r="F229" s="33">
        <f t="shared" ref="F229:F230" si="23">-55-10/60</f>
        <v>-55.166666666666664</v>
      </c>
      <c r="G229" s="25" t="s">
        <v>2355</v>
      </c>
      <c r="H229" s="19" t="str">
        <f>VLOOKUP( $A229, Sovereignty!$A$2:$L$510, 12, 0 )</f>
        <v>x</v>
      </c>
    </row>
    <row r="230" spans="1:8" x14ac:dyDescent="0.2">
      <c r="A230" s="15" t="s">
        <v>2356</v>
      </c>
      <c r="B230" s="15">
        <v>16670731</v>
      </c>
      <c r="C230" s="15">
        <v>19541215</v>
      </c>
      <c r="D230" s="15" t="s">
        <v>368</v>
      </c>
      <c r="E230" s="33">
        <f t="shared" si="22"/>
        <v>5.833333333333333</v>
      </c>
      <c r="F230" s="33">
        <f t="shared" si="23"/>
        <v>-55.166666666666664</v>
      </c>
      <c r="G230" s="25" t="s">
        <v>2355</v>
      </c>
      <c r="H230" s="19" t="str">
        <f>VLOOKUP( $A230, Sovereignty!$A$2:$L$510, 12, 0 )</f>
        <v>x</v>
      </c>
    </row>
    <row r="231" spans="1:8" x14ac:dyDescent="0.2">
      <c r="A231" s="15" t="s">
        <v>2359</v>
      </c>
      <c r="B231" s="15">
        <v>16430926</v>
      </c>
      <c r="C231" s="15">
        <v>20261231</v>
      </c>
      <c r="D231" s="15" t="s">
        <v>848</v>
      </c>
      <c r="E231" s="33">
        <f>4+56/60+14/3600</f>
        <v>4.9372222222222222</v>
      </c>
      <c r="F231" s="33">
        <f>-52-19/60-34/3600</f>
        <v>-52.326111111111118</v>
      </c>
      <c r="G231" s="25" t="s">
        <v>2358</v>
      </c>
      <c r="H231" s="19" t="str">
        <f>VLOOKUP( $A231, Sovereignty!$A$2:$L$510, 12, 0 )</f>
        <v>x</v>
      </c>
    </row>
    <row r="232" spans="1:8" x14ac:dyDescent="0.2">
      <c r="A232" s="15" t="s">
        <v>668</v>
      </c>
      <c r="B232" s="15">
        <v>19650809</v>
      </c>
      <c r="C232" s="15">
        <v>20261231</v>
      </c>
      <c r="D232" s="15" t="s">
        <v>144</v>
      </c>
      <c r="E232" s="33">
        <f t="shared" ref="E232:E234" si="24">1+17/60</f>
        <v>1.2833333333333332</v>
      </c>
      <c r="F232" s="33">
        <f t="shared" ref="F232:F234" si="25">100+50/60</f>
        <v>100.83333333333333</v>
      </c>
      <c r="G232" s="25" t="s">
        <v>1495</v>
      </c>
      <c r="H232" s="19">
        <f>VLOOKUP( $A232, Sovereignty!$A$2:$L$510, 12, 0 )</f>
        <v>0</v>
      </c>
    </row>
    <row r="233" spans="1:8" x14ac:dyDescent="0.2">
      <c r="A233" s="15" t="s">
        <v>669</v>
      </c>
      <c r="B233" s="15">
        <v>19630831</v>
      </c>
      <c r="C233" s="15">
        <v>19650809</v>
      </c>
      <c r="D233" s="15" t="s">
        <v>144</v>
      </c>
      <c r="E233" s="33">
        <f t="shared" si="24"/>
        <v>1.2833333333333332</v>
      </c>
      <c r="F233" s="33">
        <f t="shared" si="25"/>
        <v>100.83333333333333</v>
      </c>
      <c r="G233" s="25" t="s">
        <v>1495</v>
      </c>
      <c r="H233" s="19">
        <f>VLOOKUP( $A233, Sovereignty!$A$2:$L$510, 12, 0 )</f>
        <v>0</v>
      </c>
    </row>
    <row r="234" spans="1:8" x14ac:dyDescent="0.2">
      <c r="A234" s="15" t="s">
        <v>670</v>
      </c>
      <c r="B234" s="15">
        <v>19460401</v>
      </c>
      <c r="C234" s="15">
        <v>19630831</v>
      </c>
      <c r="D234" s="15" t="s">
        <v>144</v>
      </c>
      <c r="E234" s="33">
        <f t="shared" si="24"/>
        <v>1.2833333333333332</v>
      </c>
      <c r="F234" s="33">
        <f t="shared" si="25"/>
        <v>100.83333333333333</v>
      </c>
      <c r="G234" s="25" t="s">
        <v>1495</v>
      </c>
      <c r="H234" s="19">
        <f>VLOOKUP( $A234, Sovereignty!$A$2:$L$510, 12, 0 )</f>
        <v>0</v>
      </c>
    </row>
    <row r="235" spans="1:8" x14ac:dyDescent="0.2">
      <c r="A235" s="15" t="s">
        <v>1493</v>
      </c>
      <c r="B235" s="15">
        <v>18320101</v>
      </c>
      <c r="C235" s="15">
        <v>19460401</v>
      </c>
      <c r="D235" s="15" t="s">
        <v>144</v>
      </c>
      <c r="E235" s="33">
        <f>1+17/60</f>
        <v>1.2833333333333332</v>
      </c>
      <c r="F235" s="33">
        <f>100+50/60</f>
        <v>100.83333333333333</v>
      </c>
      <c r="G235" s="25" t="s">
        <v>1495</v>
      </c>
      <c r="H235" s="19">
        <f>VLOOKUP( $A235, Sovereignty!$A$2:$L$510, 12, 0 )</f>
        <v>0</v>
      </c>
    </row>
    <row r="236" spans="1:8" x14ac:dyDescent="0.2">
      <c r="A236" s="15" t="s">
        <v>1493</v>
      </c>
      <c r="B236" s="15">
        <v>18260101</v>
      </c>
      <c r="C236" s="15">
        <v>18320101</v>
      </c>
      <c r="D236" s="15" t="s">
        <v>665</v>
      </c>
      <c r="E236" s="33">
        <f>5+24/60+52/3600</f>
        <v>5.4144444444444444</v>
      </c>
      <c r="F236" s="33">
        <f>100+19/60+45/3600</f>
        <v>100.32916666666667</v>
      </c>
      <c r="G236" s="25" t="s">
        <v>1494</v>
      </c>
      <c r="H236" s="19">
        <f>VLOOKUP( $A236, Sovereignty!$A$2:$L$510, 12, 0 )</f>
        <v>0</v>
      </c>
    </row>
    <row r="237" spans="1:8" x14ac:dyDescent="0.2">
      <c r="A237" s="15" t="s">
        <v>1501</v>
      </c>
      <c r="B237" s="15">
        <v>19221101</v>
      </c>
      <c r="C237" s="15">
        <v>20261231</v>
      </c>
      <c r="D237" s="15" t="s">
        <v>382</v>
      </c>
      <c r="E237" s="33">
        <f>39+55/60+44/3600</f>
        <v>39.928888888888885</v>
      </c>
      <c r="F237" s="33">
        <f>32+51/60+17/3600</f>
        <v>32.854722222222222</v>
      </c>
      <c r="G237" s="25" t="s">
        <v>1505</v>
      </c>
      <c r="H237" s="19">
        <f>VLOOKUP( $A237, Sovereignty!$A$2:$L$510, 12, 0 )</f>
        <v>0</v>
      </c>
    </row>
    <row r="238" spans="1:8" x14ac:dyDescent="0.2">
      <c r="A238" s="15" t="s">
        <v>1502</v>
      </c>
      <c r="B238" s="15">
        <v>14530529</v>
      </c>
      <c r="C238" s="15">
        <v>19221101</v>
      </c>
      <c r="D238" s="15" t="s">
        <v>1503</v>
      </c>
      <c r="E238" s="33">
        <f>41+45/3600</f>
        <v>41.012500000000003</v>
      </c>
      <c r="F238" s="33">
        <f>28+58/60+48/3600</f>
        <v>28.979999999999997</v>
      </c>
      <c r="G238" s="25" t="s">
        <v>1504</v>
      </c>
      <c r="H238" s="19">
        <f>VLOOKUP( $A238, Sovereignty!$A$2:$L$510, 12, 0 )</f>
        <v>0</v>
      </c>
    </row>
    <row r="239" spans="1:8" x14ac:dyDescent="0.2">
      <c r="A239" s="15" t="s">
        <v>964</v>
      </c>
      <c r="B239" s="15">
        <v>19600816</v>
      </c>
      <c r="C239" s="15">
        <v>20261231</v>
      </c>
      <c r="D239" s="15" t="s">
        <v>239</v>
      </c>
      <c r="E239" s="33">
        <f>35+10/60+21/3600</f>
        <v>35.172499999999999</v>
      </c>
      <c r="F239" s="33">
        <f>33+21/60+54/3600</f>
        <v>33.365000000000002</v>
      </c>
      <c r="G239" s="25" t="s">
        <v>1511</v>
      </c>
      <c r="H239" s="19">
        <f>VLOOKUP( $A239, Sovereignty!$A$2:$L$510, 12, 0 )</f>
        <v>0</v>
      </c>
    </row>
    <row r="240" spans="1:8" x14ac:dyDescent="0.2">
      <c r="A240" s="15" t="s">
        <v>1508</v>
      </c>
      <c r="B240" s="15">
        <v>18780604</v>
      </c>
      <c r="C240" s="15">
        <v>19600816</v>
      </c>
      <c r="D240" s="15" t="s">
        <v>239</v>
      </c>
      <c r="E240" s="33">
        <f t="shared" ref="E240:E241" si="26">35+10/60+21/3600</f>
        <v>35.172499999999999</v>
      </c>
      <c r="F240" s="33">
        <f t="shared" ref="F240:F241" si="27">33+21/60+54/3600</f>
        <v>33.365000000000002</v>
      </c>
      <c r="G240" s="25" t="s">
        <v>1511</v>
      </c>
      <c r="H240" s="19">
        <f>VLOOKUP( $A240, Sovereignty!$A$2:$L$510, 12, 0 )</f>
        <v>0</v>
      </c>
    </row>
    <row r="241" spans="1:8" x14ac:dyDescent="0.2">
      <c r="A241" s="15" t="s">
        <v>1509</v>
      </c>
      <c r="B241" s="15">
        <v>15710801</v>
      </c>
      <c r="C241" s="15">
        <v>18780604</v>
      </c>
      <c r="D241" s="15" t="s">
        <v>239</v>
      </c>
      <c r="E241" s="33">
        <f t="shared" si="26"/>
        <v>35.172499999999999</v>
      </c>
      <c r="F241" s="33">
        <f t="shared" si="27"/>
        <v>33.365000000000002</v>
      </c>
      <c r="G241" s="25" t="s">
        <v>1511</v>
      </c>
      <c r="H241" s="19">
        <f>VLOOKUP( $A241, Sovereignty!$A$2:$L$510, 12, 0 )</f>
        <v>0</v>
      </c>
    </row>
    <row r="242" spans="1:8" x14ac:dyDescent="0.2">
      <c r="A242" s="15" t="s">
        <v>1513</v>
      </c>
      <c r="B242" s="15">
        <v>19610929</v>
      </c>
      <c r="C242" s="15">
        <v>20261231</v>
      </c>
      <c r="D242" s="15" t="s">
        <v>371</v>
      </c>
      <c r="E242" s="33">
        <f>33+30/60+47/3600</f>
        <v>33.513055555555553</v>
      </c>
      <c r="F242" s="33">
        <f>36+18/60+34/3600</f>
        <v>36.309444444444445</v>
      </c>
      <c r="G242" s="25" t="s">
        <v>1516</v>
      </c>
      <c r="H242" s="19">
        <f>VLOOKUP( $A242, Sovereignty!$A$2:$L$510, 12, 0 )</f>
        <v>0</v>
      </c>
    </row>
    <row r="243" spans="1:8" x14ac:dyDescent="0.2">
      <c r="A243" s="15" t="s">
        <v>1515</v>
      </c>
      <c r="B243" s="15">
        <v>19460417</v>
      </c>
      <c r="C243" s="15">
        <v>19580222</v>
      </c>
      <c r="D243" s="15" t="s">
        <v>371</v>
      </c>
      <c r="E243" s="33">
        <f t="shared" ref="E243:E244" si="28">33+30/60+47/3600</f>
        <v>33.513055555555553</v>
      </c>
      <c r="F243" s="33">
        <f t="shared" ref="F243:F244" si="29">36+18/60+34/3600</f>
        <v>36.309444444444445</v>
      </c>
      <c r="G243" s="25" t="s">
        <v>1516</v>
      </c>
      <c r="H243" s="19">
        <f>VLOOKUP( $A243, Sovereignty!$A$2:$L$510, 12, 0 )</f>
        <v>0</v>
      </c>
    </row>
    <row r="244" spans="1:8" x14ac:dyDescent="0.2">
      <c r="A244" s="15" t="s">
        <v>1514</v>
      </c>
      <c r="B244" s="15">
        <v>19230929</v>
      </c>
      <c r="C244" s="15">
        <v>19460417</v>
      </c>
      <c r="D244" s="15" t="s">
        <v>371</v>
      </c>
      <c r="E244" s="33">
        <f t="shared" si="28"/>
        <v>33.513055555555553</v>
      </c>
      <c r="F244" s="33">
        <f t="shared" si="29"/>
        <v>36.309444444444445</v>
      </c>
      <c r="G244" s="25" t="s">
        <v>1516</v>
      </c>
      <c r="H244" s="19">
        <f>VLOOKUP( $A244, Sovereignty!$A$2:$L$510, 12, 0 )</f>
        <v>0</v>
      </c>
    </row>
    <row r="245" spans="1:8" x14ac:dyDescent="0.2">
      <c r="A245" s="15" t="s">
        <v>960</v>
      </c>
      <c r="B245" s="15">
        <v>19431122</v>
      </c>
      <c r="C245" s="15">
        <v>20261231</v>
      </c>
      <c r="D245" s="15" t="s">
        <v>301</v>
      </c>
      <c r="E245" s="33">
        <f>33+53/60+53/3600</f>
        <v>33.898055555555558</v>
      </c>
      <c r="F245" s="33">
        <f>35+30/60+21/3600</f>
        <v>35.505833333333335</v>
      </c>
      <c r="G245" s="25" t="s">
        <v>1526</v>
      </c>
      <c r="H245" s="19">
        <f>VLOOKUP( $A245, Sovereignty!$A$2:$L$510, 12, 0 )</f>
        <v>0</v>
      </c>
    </row>
    <row r="246" spans="1:8" x14ac:dyDescent="0.2">
      <c r="A246" s="15" t="s">
        <v>954</v>
      </c>
      <c r="B246" s="15">
        <v>19480514</v>
      </c>
      <c r="C246" s="15">
        <v>20261231</v>
      </c>
      <c r="D246" s="15" t="s">
        <v>287</v>
      </c>
      <c r="E246" s="33">
        <f>31+46/60+44/3600</f>
        <v>31.778888888888886</v>
      </c>
      <c r="F246" s="33">
        <f>35+13/60+32/3600</f>
        <v>35.225555555555559</v>
      </c>
      <c r="G246" s="25" t="s">
        <v>1531</v>
      </c>
      <c r="H246" s="19">
        <f>VLOOKUP( $A246, Sovereignty!$A$2:$L$510, 12, 0 )</f>
        <v>0</v>
      </c>
    </row>
    <row r="247" spans="1:8" x14ac:dyDescent="0.2">
      <c r="A247" s="15" t="s">
        <v>1528</v>
      </c>
      <c r="B247" s="15">
        <v>19200425</v>
      </c>
      <c r="C247" s="15">
        <v>19480514</v>
      </c>
      <c r="D247" s="15" t="s">
        <v>287</v>
      </c>
      <c r="E247" s="33">
        <f t="shared" ref="E247:E248" si="30">31+46/60+44/3600</f>
        <v>31.778888888888886</v>
      </c>
      <c r="F247" s="33">
        <f t="shared" ref="F247:F248" si="31">35+13/60+32/3600</f>
        <v>35.225555555555559</v>
      </c>
      <c r="G247" s="25" t="s">
        <v>1531</v>
      </c>
      <c r="H247" s="19">
        <f>VLOOKUP( $A247, Sovereignty!$A$2:$L$510, 12, 0 )</f>
        <v>0</v>
      </c>
    </row>
    <row r="248" spans="1:8" x14ac:dyDescent="0.2">
      <c r="A248" s="15" t="s">
        <v>1530</v>
      </c>
      <c r="B248" s="15">
        <v>15170101</v>
      </c>
      <c r="C248" s="15">
        <v>19200425</v>
      </c>
      <c r="D248" s="15" t="s">
        <v>287</v>
      </c>
      <c r="E248" s="33">
        <f t="shared" si="30"/>
        <v>31.778888888888886</v>
      </c>
      <c r="F248" s="33">
        <f t="shared" si="31"/>
        <v>35.225555555555559</v>
      </c>
      <c r="G248" s="25" t="s">
        <v>1531</v>
      </c>
      <c r="H248" s="19">
        <f>VLOOKUP( $A248, Sovereignty!$A$2:$L$510, 12, 0 )</f>
        <v>0</v>
      </c>
    </row>
    <row r="249" spans="1:8" x14ac:dyDescent="0.2">
      <c r="A249" s="15" t="s">
        <v>940</v>
      </c>
      <c r="B249" s="15">
        <v>19460525</v>
      </c>
      <c r="C249" s="15">
        <v>20261231</v>
      </c>
      <c r="D249" s="15" t="s">
        <v>291</v>
      </c>
      <c r="E249" s="33">
        <f>31+56/60+59/3600</f>
        <v>31.949722222222224</v>
      </c>
      <c r="F249" s="33">
        <f>35+55/60+58/3600</f>
        <v>35.932777777777773</v>
      </c>
      <c r="G249" s="25" t="s">
        <v>1537</v>
      </c>
      <c r="H249" s="19">
        <f>VLOOKUP( $A249, Sovereignty!$A$2:$L$510, 12, 0 )</f>
        <v>0</v>
      </c>
    </row>
    <row r="250" spans="1:8" x14ac:dyDescent="0.2">
      <c r="A250" s="15" t="s">
        <v>1535</v>
      </c>
      <c r="B250" s="15">
        <v>19210411</v>
      </c>
      <c r="C250" s="15">
        <v>19460525</v>
      </c>
      <c r="D250" s="15" t="s">
        <v>291</v>
      </c>
      <c r="E250" s="33">
        <f>31+56/60+59/3600</f>
        <v>31.949722222222224</v>
      </c>
      <c r="F250" s="33">
        <f>35+55/60+58/3600</f>
        <v>35.932777777777773</v>
      </c>
      <c r="G250" s="25" t="s">
        <v>1537</v>
      </c>
      <c r="H250" s="19">
        <f>VLOOKUP( $A250, Sovereignty!$A$2:$L$510, 12, 0 )</f>
        <v>0</v>
      </c>
    </row>
    <row r="251" spans="1:8" x14ac:dyDescent="0.2">
      <c r="A251" s="15" t="s">
        <v>2364</v>
      </c>
      <c r="B251" s="15">
        <v>18240101</v>
      </c>
      <c r="C251" s="15">
        <v>20261231</v>
      </c>
      <c r="D251" s="15" t="s">
        <v>354</v>
      </c>
      <c r="E251" s="33">
        <f>24+38/60</f>
        <v>24.633333333333333</v>
      </c>
      <c r="F251" s="33">
        <f>46+43/60</f>
        <v>46.716666666666669</v>
      </c>
      <c r="G251" s="25" t="s">
        <v>1545</v>
      </c>
      <c r="H251" s="19">
        <f>VLOOKUP( $A251, Sovereignty!$A$2:$L$510, 12, 0 )</f>
        <v>0</v>
      </c>
    </row>
    <row r="252" spans="1:8" x14ac:dyDescent="0.2">
      <c r="A252" s="15" t="s">
        <v>2364</v>
      </c>
      <c r="B252" s="15">
        <v>17440101</v>
      </c>
      <c r="C252" s="15">
        <v>18240101</v>
      </c>
      <c r="D252" s="15" t="s">
        <v>1544</v>
      </c>
      <c r="E252" s="33">
        <f>24+44/60</f>
        <v>24.733333333333334</v>
      </c>
      <c r="F252" s="33">
        <f>46+34/60+32/3600</f>
        <v>46.57555555555556</v>
      </c>
      <c r="G252" s="25" t="s">
        <v>1546</v>
      </c>
      <c r="H252" s="19">
        <f>VLOOKUP( $A252, Sovereignty!$A$2:$L$510, 12, 0 )</f>
        <v>0</v>
      </c>
    </row>
    <row r="253" spans="1:8" x14ac:dyDescent="0.2">
      <c r="A253" s="15" t="s">
        <v>961</v>
      </c>
      <c r="B253" s="15">
        <v>19900522</v>
      </c>
      <c r="C253" s="15">
        <v>20261231</v>
      </c>
      <c r="D253" s="15" t="s">
        <v>1556</v>
      </c>
      <c r="E253" s="33">
        <f>15+20/60+54/3600</f>
        <v>15.348333333333334</v>
      </c>
      <c r="F253" s="33">
        <f>44+12/60+23/3600</f>
        <v>44.206388888888888</v>
      </c>
      <c r="G253" s="25" t="s">
        <v>1557</v>
      </c>
      <c r="H253" s="19">
        <f>VLOOKUP( $A253, Sovereignty!$A$2:$L$510, 12, 0 )</f>
        <v>0</v>
      </c>
    </row>
    <row r="254" spans="1:8" x14ac:dyDescent="0.2">
      <c r="A254" s="15" t="s">
        <v>2367</v>
      </c>
      <c r="B254" s="15">
        <v>19630118</v>
      </c>
      <c r="C254" s="15">
        <v>19900522</v>
      </c>
      <c r="D254" s="15" t="s">
        <v>1560</v>
      </c>
      <c r="E254" s="33">
        <f>12+48/60</f>
        <v>12.8</v>
      </c>
      <c r="F254" s="33">
        <f>45+2/60</f>
        <v>45.033333333333331</v>
      </c>
      <c r="G254" s="25" t="s">
        <v>1561</v>
      </c>
      <c r="H254" s="19">
        <f>VLOOKUP( $A254, Sovereignty!$A$2:$L$510, 12, 0 )</f>
        <v>0</v>
      </c>
    </row>
    <row r="255" spans="1:8" x14ac:dyDescent="0.2">
      <c r="A255" s="15" t="s">
        <v>1553</v>
      </c>
      <c r="B255" s="15">
        <v>18720101</v>
      </c>
      <c r="C255" s="15">
        <v>19630118</v>
      </c>
      <c r="D255" s="15" t="s">
        <v>1560</v>
      </c>
      <c r="E255" s="33">
        <f>12+48/60</f>
        <v>12.8</v>
      </c>
      <c r="F255" s="33">
        <f>45+2/60</f>
        <v>45.033333333333331</v>
      </c>
      <c r="G255" s="25" t="s">
        <v>1561</v>
      </c>
      <c r="H255" s="19">
        <f>VLOOKUP( $A255, Sovereignty!$A$2:$L$510, 12, 0 )</f>
        <v>0</v>
      </c>
    </row>
    <row r="256" spans="1:8" x14ac:dyDescent="0.2">
      <c r="A256" s="15" t="s">
        <v>1550</v>
      </c>
      <c r="B256" s="15">
        <v>19620926</v>
      </c>
      <c r="C256" s="15">
        <v>19900522</v>
      </c>
      <c r="D256" s="15" t="s">
        <v>396</v>
      </c>
      <c r="E256" s="33">
        <f>15+20/60+54/3600</f>
        <v>15.348333333333334</v>
      </c>
      <c r="F256" s="33">
        <f>44+12/60+23/3600</f>
        <v>44.206388888888888</v>
      </c>
      <c r="G256" s="25" t="s">
        <v>1557</v>
      </c>
      <c r="H256" s="19">
        <f>VLOOKUP( $A256, Sovereignty!$A$2:$L$510, 12, 0 )</f>
        <v>0</v>
      </c>
    </row>
    <row r="257" spans="1:8" x14ac:dyDescent="0.2">
      <c r="A257" s="15" t="s">
        <v>1550</v>
      </c>
      <c r="B257" s="15">
        <v>19480101</v>
      </c>
      <c r="C257" s="15">
        <v>19620926</v>
      </c>
      <c r="D257" s="15" t="s">
        <v>1558</v>
      </c>
      <c r="E257" s="33">
        <f>13+34/60+44/3600</f>
        <v>13.578888888888889</v>
      </c>
      <c r="F257" s="33">
        <f>44+1/60+19/3600</f>
        <v>44.021944444444443</v>
      </c>
      <c r="G257" s="25" t="s">
        <v>1559</v>
      </c>
      <c r="H257" s="19">
        <f>VLOOKUP( $A257, Sovereignty!$A$2:$L$510, 12, 0 )</f>
        <v>0</v>
      </c>
    </row>
    <row r="258" spans="1:8" x14ac:dyDescent="0.2">
      <c r="A258" s="15" t="s">
        <v>1550</v>
      </c>
      <c r="B258" s="15">
        <v>19181030</v>
      </c>
      <c r="C258" s="15">
        <v>19480101</v>
      </c>
      <c r="D258" s="15" t="s">
        <v>1556</v>
      </c>
      <c r="E258" s="33">
        <f>15+20/60+54/3600</f>
        <v>15.348333333333334</v>
      </c>
      <c r="F258" s="33">
        <f>44+12/60+23/3600</f>
        <v>44.206388888888888</v>
      </c>
      <c r="G258" s="25" t="s">
        <v>1557</v>
      </c>
      <c r="H258" s="19">
        <f>VLOOKUP( $A258, Sovereignty!$A$2:$L$510, 12, 0 )</f>
        <v>0</v>
      </c>
    </row>
    <row r="259" spans="1:8" x14ac:dyDescent="0.2">
      <c r="A259" s="15" t="s">
        <v>1549</v>
      </c>
      <c r="B259" s="15">
        <v>18720101</v>
      </c>
      <c r="C259" s="15">
        <v>19181030</v>
      </c>
      <c r="D259" s="15" t="s">
        <v>1556</v>
      </c>
      <c r="E259" s="33">
        <f>15+20/60+54/3600</f>
        <v>15.348333333333334</v>
      </c>
      <c r="F259" s="33">
        <f>44+12/60+23/3600</f>
        <v>44.206388888888888</v>
      </c>
      <c r="G259" s="25" t="s">
        <v>1557</v>
      </c>
      <c r="H259" s="19">
        <f>VLOOKUP( $A259, Sovereignty!$A$2:$L$510, 12, 0 )</f>
        <v>0</v>
      </c>
    </row>
    <row r="260" spans="1:8" x14ac:dyDescent="0.2">
      <c r="A260" s="15" t="s">
        <v>1547</v>
      </c>
      <c r="B260" s="15">
        <v>15970101</v>
      </c>
      <c r="C260" s="15">
        <v>18720101</v>
      </c>
      <c r="D260" s="15" t="s">
        <v>1556</v>
      </c>
      <c r="E260" s="33">
        <f>15+20/60+54/3600</f>
        <v>15.348333333333334</v>
      </c>
      <c r="F260" s="33">
        <f>44+12/60+23/3600</f>
        <v>44.206388888888888</v>
      </c>
      <c r="G260" s="25" t="s">
        <v>1557</v>
      </c>
      <c r="H260" s="19">
        <f>VLOOKUP( $A260, Sovereignty!$A$2:$L$510, 12, 0 )</f>
        <v>0</v>
      </c>
    </row>
    <row r="261" spans="1:8" x14ac:dyDescent="0.2">
      <c r="A261" s="15" t="s">
        <v>945</v>
      </c>
      <c r="B261" s="15">
        <v>19661106</v>
      </c>
      <c r="C261" s="15">
        <v>20261231</v>
      </c>
      <c r="D261" s="15" t="s">
        <v>334</v>
      </c>
      <c r="E261" s="33">
        <f>23+35/60+20/3600</f>
        <v>23.588888888888889</v>
      </c>
      <c r="F261" s="33">
        <f>58+24/60+30/3600</f>
        <v>58.408333333333331</v>
      </c>
      <c r="G261" s="25" t="s">
        <v>1572</v>
      </c>
      <c r="H261" s="19">
        <f>VLOOKUP( $A261, Sovereignty!$A$2:$L$510, 12, 0 )</f>
        <v>0</v>
      </c>
    </row>
    <row r="262" spans="1:8" x14ac:dyDescent="0.2">
      <c r="A262" s="15" t="s">
        <v>1571</v>
      </c>
      <c r="B262" s="15">
        <v>18560101</v>
      </c>
      <c r="C262" s="15">
        <v>19661106</v>
      </c>
      <c r="D262" s="15" t="s">
        <v>334</v>
      </c>
      <c r="E262" s="33">
        <f t="shared" ref="E262:E264" si="32">23+35/60+20/3600</f>
        <v>23.588888888888889</v>
      </c>
      <c r="F262" s="33">
        <f t="shared" ref="F262:F264" si="33">58+24/60+30/3600</f>
        <v>58.408333333333331</v>
      </c>
      <c r="G262" s="25" t="s">
        <v>1572</v>
      </c>
      <c r="H262" s="19">
        <f>VLOOKUP( $A262, Sovereignty!$A$2:$L$510, 12, 0 )</f>
        <v>0</v>
      </c>
    </row>
    <row r="263" spans="1:8" x14ac:dyDescent="0.2">
      <c r="A263" s="15" t="s">
        <v>1568</v>
      </c>
      <c r="B263" s="15">
        <v>18320101</v>
      </c>
      <c r="C263" s="15">
        <v>18560101</v>
      </c>
      <c r="D263" s="15" t="s">
        <v>1430</v>
      </c>
      <c r="E263" s="33">
        <f>-6.165</f>
        <v>-6.165</v>
      </c>
      <c r="F263" s="33">
        <f>39.199</f>
        <v>39.198999999999998</v>
      </c>
      <c r="G263" s="25" t="s">
        <v>1431</v>
      </c>
      <c r="H263" s="19">
        <f>VLOOKUP( $A263, Sovereignty!$A$2:$L$510, 12, 0 )</f>
        <v>0</v>
      </c>
    </row>
    <row r="264" spans="1:8" x14ac:dyDescent="0.2">
      <c r="A264" s="15" t="s">
        <v>1568</v>
      </c>
      <c r="B264" s="15">
        <v>17920101</v>
      </c>
      <c r="C264" s="15">
        <v>18320101</v>
      </c>
      <c r="D264" s="15" t="s">
        <v>334</v>
      </c>
      <c r="E264" s="33">
        <f t="shared" si="32"/>
        <v>23.588888888888889</v>
      </c>
      <c r="F264" s="33">
        <f t="shared" si="33"/>
        <v>58.408333333333331</v>
      </c>
      <c r="G264" s="25" t="s">
        <v>1572</v>
      </c>
      <c r="H264" s="19">
        <f>VLOOKUP( $A264, Sovereignty!$A$2:$L$510, 12, 0 )</f>
        <v>0</v>
      </c>
    </row>
    <row r="265" spans="1:8" x14ac:dyDescent="0.2">
      <c r="A265" s="15" t="s">
        <v>1568</v>
      </c>
      <c r="B265" s="15">
        <v>16960101</v>
      </c>
      <c r="C265" s="15">
        <v>17920101</v>
      </c>
      <c r="D265" s="15" t="s">
        <v>1573</v>
      </c>
      <c r="E265" s="33">
        <f>23+23/60+27/3600</f>
        <v>23.390833333333333</v>
      </c>
      <c r="F265" s="33">
        <f>57+25/60+28/3600</f>
        <v>57.42444444444444</v>
      </c>
      <c r="G265" s="25" t="s">
        <v>1574</v>
      </c>
      <c r="H265" s="19">
        <f>VLOOKUP( $A265, Sovereignty!$A$2:$L$510, 12, 0 )</f>
        <v>0</v>
      </c>
    </row>
    <row r="266" spans="1:8" x14ac:dyDescent="0.2">
      <c r="A266" s="15" t="s">
        <v>947</v>
      </c>
      <c r="B266" s="15">
        <v>19711202</v>
      </c>
      <c r="C266" s="15">
        <v>20261231</v>
      </c>
      <c r="D266" s="15" t="s">
        <v>387</v>
      </c>
      <c r="E266" s="33">
        <f>24+28/60</f>
        <v>24.466666666666665</v>
      </c>
      <c r="F266" s="33">
        <f>54+22/60</f>
        <v>54.366666666666667</v>
      </c>
      <c r="G266" s="25" t="s">
        <v>1579</v>
      </c>
      <c r="H266" s="19">
        <f>VLOOKUP( $A266, Sovereignty!$A$2:$L$510, 12, 0 )</f>
        <v>0</v>
      </c>
    </row>
    <row r="267" spans="1:8" x14ac:dyDescent="0.2">
      <c r="A267" s="15" t="s">
        <v>1577</v>
      </c>
      <c r="B267" s="15">
        <v>18200108</v>
      </c>
      <c r="C267" s="15">
        <v>19711202</v>
      </c>
      <c r="D267" s="15" t="s">
        <v>387</v>
      </c>
      <c r="E267" s="33">
        <f>24+28/60</f>
        <v>24.466666666666665</v>
      </c>
      <c r="F267" s="33">
        <f>54+22/60</f>
        <v>54.366666666666667</v>
      </c>
      <c r="G267" s="25" t="s">
        <v>1579</v>
      </c>
      <c r="H267" s="19">
        <f>VLOOKUP( $A267, Sovereignty!$A$2:$L$510, 12, 0 )</f>
        <v>0</v>
      </c>
    </row>
    <row r="268" spans="1:8" x14ac:dyDescent="0.2">
      <c r="A268" s="15" t="s">
        <v>943</v>
      </c>
      <c r="B268" s="15">
        <v>19710903</v>
      </c>
      <c r="C268" s="15">
        <v>20261231</v>
      </c>
      <c r="D268" s="15" t="s">
        <v>344</v>
      </c>
      <c r="E268" s="33">
        <f>25+17/60+12/3600</f>
        <v>25.286666666666669</v>
      </c>
      <c r="F268" s="33">
        <f>51+32/60</f>
        <v>51.533333333333331</v>
      </c>
      <c r="G268" s="25" t="s">
        <v>1583</v>
      </c>
      <c r="H268" s="19">
        <f>VLOOKUP( $A268, Sovereignty!$A$2:$L$510, 12, 0 )</f>
        <v>0</v>
      </c>
    </row>
    <row r="269" spans="1:8" x14ac:dyDescent="0.2">
      <c r="A269" s="15" t="s">
        <v>1582</v>
      </c>
      <c r="B269" s="15">
        <v>19161103</v>
      </c>
      <c r="C269" s="15">
        <v>19710903</v>
      </c>
      <c r="D269" s="15" t="s">
        <v>344</v>
      </c>
      <c r="E269" s="33">
        <f>25+17/60+12/3600</f>
        <v>25.286666666666669</v>
      </c>
      <c r="F269" s="33">
        <f>51+32/60</f>
        <v>51.533333333333331</v>
      </c>
      <c r="G269" s="25" t="s">
        <v>1583</v>
      </c>
      <c r="H269" s="19">
        <f>VLOOKUP( $A269, Sovereignty!$A$2:$L$510, 12, 0 )</f>
        <v>0</v>
      </c>
    </row>
    <row r="270" spans="1:8" x14ac:dyDescent="0.2">
      <c r="A270" s="15" t="s">
        <v>939</v>
      </c>
      <c r="B270" s="15">
        <v>19710815</v>
      </c>
      <c r="C270" s="15">
        <v>20261231</v>
      </c>
      <c r="D270" s="15" t="s">
        <v>202</v>
      </c>
      <c r="E270" s="33">
        <f>26+13/60+24/3600</f>
        <v>26.223333333333333</v>
      </c>
      <c r="F270" s="33">
        <f>50+35/60+15/3600</f>
        <v>50.587500000000006</v>
      </c>
      <c r="G270" s="25" t="s">
        <v>1586</v>
      </c>
      <c r="H270" s="19">
        <f>VLOOKUP( $A270, Sovereignty!$A$2:$L$510, 12, 0 )</f>
        <v>0</v>
      </c>
    </row>
    <row r="271" spans="1:8" x14ac:dyDescent="0.2">
      <c r="A271" s="15" t="s">
        <v>1585</v>
      </c>
      <c r="B271" s="15">
        <v>19210101</v>
      </c>
      <c r="C271" s="15">
        <v>19710815</v>
      </c>
      <c r="D271" s="15" t="s">
        <v>202</v>
      </c>
      <c r="E271" s="33">
        <f>26+13/60+24/3600</f>
        <v>26.223333333333333</v>
      </c>
      <c r="F271" s="33">
        <f>50+35/60+15/3600</f>
        <v>50.587500000000006</v>
      </c>
      <c r="G271" s="25" t="s">
        <v>1586</v>
      </c>
      <c r="H271" s="19">
        <f>VLOOKUP( $A271, Sovereignty!$A$2:$L$510, 12, 0 )</f>
        <v>0</v>
      </c>
    </row>
    <row r="272" spans="1:8" x14ac:dyDescent="0.2">
      <c r="A272" s="15" t="s">
        <v>1585</v>
      </c>
      <c r="B272" s="15">
        <v>18610531</v>
      </c>
      <c r="C272" s="15">
        <v>19210101</v>
      </c>
      <c r="D272" s="15" t="s">
        <v>1587</v>
      </c>
      <c r="E272" s="33">
        <f>26+15/60</f>
        <v>26.25</v>
      </c>
      <c r="F272" s="33">
        <f>50+37/60</f>
        <v>50.616666666666667</v>
      </c>
      <c r="G272" s="25" t="s">
        <v>1588</v>
      </c>
      <c r="H272" s="19">
        <f>VLOOKUP( $A272, Sovereignty!$A$2:$L$510, 12, 0 )</f>
        <v>0</v>
      </c>
    </row>
    <row r="273" spans="1:8" x14ac:dyDescent="0.2">
      <c r="A273" s="15" t="s">
        <v>1584</v>
      </c>
      <c r="B273" s="15">
        <v>17830723</v>
      </c>
      <c r="C273" s="15">
        <v>18610531</v>
      </c>
      <c r="D273" s="15" t="s">
        <v>1587</v>
      </c>
      <c r="E273" s="33">
        <f>26+15/60</f>
        <v>26.25</v>
      </c>
      <c r="F273" s="33">
        <f>50+37/60</f>
        <v>50.616666666666667</v>
      </c>
      <c r="G273" s="25" t="s">
        <v>1588</v>
      </c>
      <c r="H273" s="19">
        <f>VLOOKUP( $A273, Sovereignty!$A$2:$L$510, 12, 0 )</f>
        <v>0</v>
      </c>
    </row>
    <row r="274" spans="1:8" x14ac:dyDescent="0.2">
      <c r="A274" s="15" t="s">
        <v>677</v>
      </c>
      <c r="B274" s="15">
        <v>19610619</v>
      </c>
      <c r="C274" s="15">
        <v>20261231</v>
      </c>
      <c r="D274" s="15" t="s">
        <v>297</v>
      </c>
      <c r="E274" s="33">
        <f>29+22/60+11/3600</f>
        <v>29.369722222222222</v>
      </c>
      <c r="F274" s="33">
        <f>47+58/60+42/3600</f>
        <v>47.978333333333332</v>
      </c>
      <c r="G274" s="25" t="s">
        <v>1591</v>
      </c>
      <c r="H274" s="19">
        <f>VLOOKUP( $A274, Sovereignty!$A$2:$L$510, 12, 0 )</f>
        <v>0</v>
      </c>
    </row>
    <row r="275" spans="1:8" x14ac:dyDescent="0.2">
      <c r="A275" s="15" t="s">
        <v>679</v>
      </c>
      <c r="B275" s="15">
        <v>18990123</v>
      </c>
      <c r="C275" s="15">
        <v>19610619</v>
      </c>
      <c r="D275" s="15" t="s">
        <v>297</v>
      </c>
      <c r="E275" s="33">
        <f t="shared" ref="E275:E276" si="34">29+22/60+11/3600</f>
        <v>29.369722222222222</v>
      </c>
      <c r="F275" s="33">
        <f t="shared" ref="F275:F276" si="35">47+58/60+42/3600</f>
        <v>47.978333333333332</v>
      </c>
      <c r="G275" s="25" t="s">
        <v>1591</v>
      </c>
      <c r="H275" s="19">
        <f>VLOOKUP( $A275, Sovereignty!$A$2:$L$510, 12, 0 )</f>
        <v>0</v>
      </c>
    </row>
    <row r="276" spans="1:8" x14ac:dyDescent="0.2">
      <c r="A276" s="15" t="s">
        <v>1592</v>
      </c>
      <c r="B276" s="15">
        <v>17520101</v>
      </c>
      <c r="C276" s="15">
        <v>18990123</v>
      </c>
      <c r="D276" s="15" t="s">
        <v>297</v>
      </c>
      <c r="E276" s="33">
        <f t="shared" si="34"/>
        <v>29.369722222222222</v>
      </c>
      <c r="F276" s="33">
        <f t="shared" si="35"/>
        <v>47.978333333333332</v>
      </c>
      <c r="G276" s="25" t="s">
        <v>1591</v>
      </c>
      <c r="H276" s="19">
        <f>VLOOKUP( $A276, Sovereignty!$A$2:$L$510, 12, 0 )</f>
        <v>0</v>
      </c>
    </row>
    <row r="277" spans="1:8" x14ac:dyDescent="0.2">
      <c r="A277" s="15" t="s">
        <v>948</v>
      </c>
      <c r="B277" s="15">
        <v>19321003</v>
      </c>
      <c r="C277" s="15">
        <v>20261231</v>
      </c>
      <c r="D277" s="15" t="s">
        <v>285</v>
      </c>
      <c r="E277" s="33">
        <f>33+18/60+55/3600</f>
        <v>33.315277777777773</v>
      </c>
      <c r="F277" s="33">
        <f>44+21/60+58/3600</f>
        <v>44.36611111111111</v>
      </c>
      <c r="G277" s="25" t="s">
        <v>1594</v>
      </c>
      <c r="H277" s="19">
        <f>VLOOKUP( $A277, Sovereignty!$A$2:$L$510, 12, 0 )</f>
        <v>0</v>
      </c>
    </row>
    <row r="278" spans="1:8" x14ac:dyDescent="0.2">
      <c r="A278" s="15" t="s">
        <v>1597</v>
      </c>
      <c r="B278" s="15">
        <v>19200425</v>
      </c>
      <c r="C278" s="15">
        <v>19321003</v>
      </c>
      <c r="D278" s="15" t="s">
        <v>285</v>
      </c>
      <c r="E278" s="33">
        <f t="shared" ref="E278:E279" si="36">33+18/60+55/3600</f>
        <v>33.315277777777773</v>
      </c>
      <c r="F278" s="33">
        <f t="shared" ref="F278:F279" si="37">44+21/60+58/3600</f>
        <v>44.36611111111111</v>
      </c>
      <c r="G278" s="25" t="s">
        <v>1594</v>
      </c>
      <c r="H278" s="19">
        <f>VLOOKUP( $A278, Sovereignty!$A$2:$L$510, 12, 0 )</f>
        <v>0</v>
      </c>
    </row>
    <row r="279" spans="1:8" x14ac:dyDescent="0.2">
      <c r="A279" s="15" t="s">
        <v>1596</v>
      </c>
      <c r="B279" s="15">
        <v>15340101</v>
      </c>
      <c r="C279" s="15">
        <v>19200425</v>
      </c>
      <c r="D279" s="15" t="s">
        <v>285</v>
      </c>
      <c r="E279" s="33">
        <f t="shared" si="36"/>
        <v>33.315277777777773</v>
      </c>
      <c r="F279" s="33">
        <f t="shared" si="37"/>
        <v>44.36611111111111</v>
      </c>
      <c r="G279" s="25" t="s">
        <v>1594</v>
      </c>
      <c r="H279" s="19">
        <f>VLOOKUP( $A279, Sovereignty!$A$2:$L$510, 12, 0 )</f>
        <v>0</v>
      </c>
    </row>
    <row r="280" spans="1:8" x14ac:dyDescent="0.2">
      <c r="A280" s="15" t="s">
        <v>1642</v>
      </c>
      <c r="B280" s="15">
        <v>15010101</v>
      </c>
      <c r="C280" s="15">
        <v>20261231</v>
      </c>
      <c r="D280" s="15" t="s">
        <v>279</v>
      </c>
      <c r="E280" s="33">
        <f t="shared" ref="E280" si="38">35+41/60+20/3600</f>
        <v>35.688888888888883</v>
      </c>
      <c r="F280" s="33">
        <f t="shared" ref="F280" si="39">51+23/60+23/3600</f>
        <v>51.389722222222218</v>
      </c>
      <c r="G280" s="25" t="s">
        <v>1647</v>
      </c>
      <c r="H280" s="19">
        <f>VLOOKUP( $A280, Sovereignty!$A$2:$L$510, 12, 0 )</f>
        <v>0</v>
      </c>
    </row>
    <row r="281" spans="1:8" x14ac:dyDescent="0.2">
      <c r="A281" s="15" t="s">
        <v>1651</v>
      </c>
      <c r="B281" s="15">
        <v>17760101</v>
      </c>
      <c r="C281" s="15">
        <v>20261231</v>
      </c>
      <c r="D281" s="15" t="s">
        <v>189</v>
      </c>
      <c r="E281" s="33">
        <f t="shared" ref="E281" si="40">34+31/60</f>
        <v>34.516666666666666</v>
      </c>
      <c r="F281" s="33">
        <f t="shared" ref="F281" si="41">69+11/60</f>
        <v>69.183333333333337</v>
      </c>
      <c r="G281" s="25" t="s">
        <v>1652</v>
      </c>
      <c r="H281" s="19">
        <f>VLOOKUP( $A281, Sovereignty!$A$2:$L$510, 12, 0 )</f>
        <v>0</v>
      </c>
    </row>
    <row r="282" spans="1:8" x14ac:dyDescent="0.2">
      <c r="A282" s="15" t="s">
        <v>1651</v>
      </c>
      <c r="B282" s="15">
        <v>17470601</v>
      </c>
      <c r="C282" s="15">
        <v>17760101</v>
      </c>
      <c r="D282" s="15" t="s">
        <v>1654</v>
      </c>
      <c r="E282" s="33">
        <f>31+37/60+12/3600</f>
        <v>31.62</v>
      </c>
      <c r="F282" s="33">
        <f>65+42/60+57/3600</f>
        <v>65.715833333333336</v>
      </c>
      <c r="G282" s="25" t="s">
        <v>1655</v>
      </c>
      <c r="H282" s="19">
        <f>VLOOKUP( $A282, Sovereignty!$A$2:$L$510, 12, 0 )</f>
        <v>0</v>
      </c>
    </row>
    <row r="283" spans="1:8" x14ac:dyDescent="0.2">
      <c r="A283" s="15" t="s">
        <v>968</v>
      </c>
      <c r="B283" s="15">
        <v>19590101</v>
      </c>
      <c r="C283" s="15">
        <v>20261231</v>
      </c>
      <c r="D283" s="15" t="s">
        <v>335</v>
      </c>
      <c r="E283" s="33">
        <f>33+41/60+35/3600</f>
        <v>33.693055555555553</v>
      </c>
      <c r="F283" s="33">
        <f>73+3/60+50/3600</f>
        <v>73.063888888888883</v>
      </c>
      <c r="G283" s="25" t="s">
        <v>1667</v>
      </c>
      <c r="H283" s="19">
        <f>VLOOKUP( $A283, Sovereignty!$A$2:$L$510, 12, 0 )</f>
        <v>0</v>
      </c>
    </row>
    <row r="284" spans="1:8" x14ac:dyDescent="0.2">
      <c r="A284" s="15" t="s">
        <v>968</v>
      </c>
      <c r="B284" s="15">
        <v>19470814</v>
      </c>
      <c r="C284" s="15">
        <v>19590101</v>
      </c>
      <c r="D284" s="15" t="s">
        <v>1665</v>
      </c>
      <c r="E284" s="33">
        <f>24+51/60+36/3600</f>
        <v>24.860000000000003</v>
      </c>
      <c r="F284" s="33">
        <f>67+36/3600</f>
        <v>67.010000000000005</v>
      </c>
      <c r="G284" s="25" t="s">
        <v>1666</v>
      </c>
      <c r="H284" s="19">
        <f>VLOOKUP( $A284, Sovereignty!$A$2:$L$510, 12, 0 )</f>
        <v>0</v>
      </c>
    </row>
    <row r="285" spans="1:8" x14ac:dyDescent="0.2">
      <c r="A285" s="15" t="s">
        <v>2247</v>
      </c>
      <c r="B285" s="15">
        <v>19470815</v>
      </c>
      <c r="C285" s="15">
        <v>20261231</v>
      </c>
      <c r="D285" s="15" t="s">
        <v>277</v>
      </c>
      <c r="E285" s="33">
        <f>28+36/60+50/3600</f>
        <v>28.613888888888891</v>
      </c>
      <c r="F285" s="33">
        <f>77+12/60+30/3600</f>
        <v>77.208333333333343</v>
      </c>
      <c r="G285" s="25" t="s">
        <v>1675</v>
      </c>
      <c r="H285" s="19">
        <f>VLOOKUP( $A285, Sovereignty!$A$2:$L$510, 12, 0 )</f>
        <v>0</v>
      </c>
    </row>
    <row r="286" spans="1:8" x14ac:dyDescent="0.2">
      <c r="A286" s="15" t="s">
        <v>1664</v>
      </c>
      <c r="B286" s="15">
        <v>19310201</v>
      </c>
      <c r="C286" s="15">
        <v>19470815</v>
      </c>
      <c r="D286" s="15" t="s">
        <v>277</v>
      </c>
      <c r="E286" s="33">
        <f>28+36/60+50/3600</f>
        <v>28.613888888888891</v>
      </c>
      <c r="F286" s="33">
        <f>77+12/60+30/3600</f>
        <v>77.208333333333343</v>
      </c>
      <c r="G286" s="25" t="s">
        <v>1675</v>
      </c>
      <c r="H286" s="19">
        <f>VLOOKUP( $A286, Sovereignty!$A$2:$L$510, 12, 0 )</f>
        <v>0</v>
      </c>
    </row>
    <row r="287" spans="1:8" x14ac:dyDescent="0.2">
      <c r="A287" s="15" t="s">
        <v>1664</v>
      </c>
      <c r="B287" s="15">
        <v>18580802</v>
      </c>
      <c r="C287" s="15">
        <v>19310201</v>
      </c>
      <c r="D287" s="15" t="s">
        <v>1676</v>
      </c>
      <c r="E287" s="33">
        <f>22+34/60+3/3600</f>
        <v>22.567499999999999</v>
      </c>
      <c r="F287" s="33">
        <f>88+22/60+12/3600</f>
        <v>88.36999999999999</v>
      </c>
      <c r="G287" s="25" t="s">
        <v>1677</v>
      </c>
      <c r="H287" s="19">
        <f>VLOOKUP( $A287, Sovereignty!$A$2:$L$510, 12, 0 )</f>
        <v>0</v>
      </c>
    </row>
    <row r="288" spans="1:8" x14ac:dyDescent="0.2">
      <c r="A288" s="15" t="s">
        <v>1670</v>
      </c>
      <c r="B288" s="15">
        <v>17570623</v>
      </c>
      <c r="C288" s="15">
        <v>18580802</v>
      </c>
      <c r="D288" s="15" t="s">
        <v>1676</v>
      </c>
      <c r="E288" s="33">
        <f>22+34/60+3/3600</f>
        <v>22.567499999999999</v>
      </c>
      <c r="F288" s="33">
        <f>88+22/60+12/3600</f>
        <v>88.36999999999999</v>
      </c>
      <c r="G288" s="25" t="s">
        <v>1677</v>
      </c>
      <c r="H288" s="19">
        <f>VLOOKUP( $A288, Sovereignty!$A$2:$L$510, 12, 0 )</f>
        <v>0</v>
      </c>
    </row>
    <row r="289" spans="1:8" x14ac:dyDescent="0.2">
      <c r="A289" s="15" t="s">
        <v>967</v>
      </c>
      <c r="B289" s="15">
        <v>19820429</v>
      </c>
      <c r="C289" s="15">
        <v>20261231</v>
      </c>
      <c r="D289" s="15" t="s">
        <v>366</v>
      </c>
      <c r="E289" s="33">
        <f>6+56/60</f>
        <v>6.9333333333333336</v>
      </c>
      <c r="F289" s="33">
        <f>79+52/60</f>
        <v>79.86666666666666</v>
      </c>
      <c r="G289" s="25" t="s">
        <v>1679</v>
      </c>
      <c r="H289" s="19">
        <f>VLOOKUP( $A289, Sovereignty!$A$2:$L$510, 12, 0 )</f>
        <v>0</v>
      </c>
    </row>
    <row r="290" spans="1:8" x14ac:dyDescent="0.2">
      <c r="A290" s="15" t="s">
        <v>967</v>
      </c>
      <c r="B290" s="15">
        <v>19480204</v>
      </c>
      <c r="C290" s="15">
        <v>19820429</v>
      </c>
      <c r="D290" s="15" t="s">
        <v>1686</v>
      </c>
      <c r="E290" s="33">
        <f>6+56/60+4/3600</f>
        <v>6.9344444444444449</v>
      </c>
      <c r="F290" s="33">
        <f>79+50/60+34/3600</f>
        <v>79.842777777777769</v>
      </c>
      <c r="G290" s="25" t="s">
        <v>1687</v>
      </c>
      <c r="H290" s="19">
        <f>VLOOKUP( $A290, Sovereignty!$A$2:$L$510, 12, 0 )</f>
        <v>0</v>
      </c>
    </row>
    <row r="291" spans="1:8" x14ac:dyDescent="0.2">
      <c r="A291" s="15" t="s">
        <v>1682</v>
      </c>
      <c r="B291" s="15">
        <v>18150302</v>
      </c>
      <c r="C291" s="15">
        <v>19480204</v>
      </c>
      <c r="D291" s="15" t="s">
        <v>1686</v>
      </c>
      <c r="E291" s="33">
        <f>6+56/60+4/3600</f>
        <v>6.9344444444444449</v>
      </c>
      <c r="F291" s="33">
        <f>79+50/60+34/3600</f>
        <v>79.842777777777769</v>
      </c>
      <c r="G291" s="25" t="s">
        <v>1687</v>
      </c>
      <c r="H291" s="19">
        <f>VLOOKUP( $A291, Sovereignty!$A$2:$L$510, 12, 0 )</f>
        <v>0</v>
      </c>
    </row>
    <row r="292" spans="1:8" x14ac:dyDescent="0.2">
      <c r="A292" s="15" t="s">
        <v>1680</v>
      </c>
      <c r="B292" s="15">
        <v>14690101</v>
      </c>
      <c r="C292" s="15">
        <v>18150302</v>
      </c>
      <c r="D292" s="15" t="s">
        <v>1681</v>
      </c>
      <c r="E292" s="33">
        <f>7+17/60+35/3600</f>
        <v>7.2930555555555552</v>
      </c>
      <c r="F292" s="33">
        <f>80+38/60+6/3600</f>
        <v>80.635000000000005</v>
      </c>
      <c r="G292" s="25" t="s">
        <v>1685</v>
      </c>
      <c r="H292" s="19">
        <f>VLOOKUP( $A292, Sovereignty!$A$2:$L$510, 12, 0 )</f>
        <v>0</v>
      </c>
    </row>
    <row r="293" spans="1:8" x14ac:dyDescent="0.2">
      <c r="A293" s="15" t="s">
        <v>942</v>
      </c>
      <c r="B293" s="15">
        <v>19650726</v>
      </c>
      <c r="C293" s="15">
        <v>20261231</v>
      </c>
      <c r="D293" s="15" t="s">
        <v>310</v>
      </c>
      <c r="E293" s="33">
        <f>4+10/60+31/3600</f>
        <v>4.1752777777777776</v>
      </c>
      <c r="F293" s="33">
        <f>73+30/60+32/3600</f>
        <v>73.50888888888889</v>
      </c>
      <c r="G293" s="25" t="s">
        <v>1691</v>
      </c>
      <c r="H293" s="19">
        <f>VLOOKUP( $A293, Sovereignty!$A$2:$L$510, 12, 0 )</f>
        <v>0</v>
      </c>
    </row>
    <row r="294" spans="1:8" x14ac:dyDescent="0.2">
      <c r="A294" s="15" t="s">
        <v>1693</v>
      </c>
      <c r="B294" s="15">
        <v>17960101</v>
      </c>
      <c r="C294" s="15">
        <v>19650726</v>
      </c>
      <c r="D294" s="15" t="s">
        <v>310</v>
      </c>
      <c r="E294" s="33">
        <f t="shared" ref="E294:E295" si="42">4+10/60+31/3600</f>
        <v>4.1752777777777776</v>
      </c>
      <c r="F294" s="33">
        <f t="shared" ref="F294:F295" si="43">73+30/60+32/3600</f>
        <v>73.50888888888889</v>
      </c>
      <c r="G294" s="25" t="s">
        <v>1691</v>
      </c>
      <c r="H294" s="19">
        <f>VLOOKUP( $A294, Sovereignty!$A$2:$L$510, 12, 0 )</f>
        <v>0</v>
      </c>
    </row>
    <row r="295" spans="1:8" x14ac:dyDescent="0.2">
      <c r="A295" s="15" t="s">
        <v>1689</v>
      </c>
      <c r="B295" s="15">
        <v>15730101</v>
      </c>
      <c r="C295" s="15">
        <v>17960101</v>
      </c>
      <c r="D295" s="15" t="s">
        <v>310</v>
      </c>
      <c r="E295" s="33">
        <f t="shared" si="42"/>
        <v>4.1752777777777776</v>
      </c>
      <c r="F295" s="33">
        <f t="shared" si="43"/>
        <v>73.50888888888889</v>
      </c>
      <c r="G295" s="25" t="s">
        <v>1691</v>
      </c>
      <c r="H295" s="19">
        <f>VLOOKUP( $A295, Sovereignty!$A$2:$L$510, 12, 0 )</f>
        <v>0</v>
      </c>
    </row>
    <row r="296" spans="1:8" x14ac:dyDescent="0.2">
      <c r="A296" s="15" t="s">
        <v>963</v>
      </c>
      <c r="B296" s="15">
        <v>19711216</v>
      </c>
      <c r="C296" s="15">
        <v>20261231</v>
      </c>
      <c r="D296" s="15" t="s">
        <v>203</v>
      </c>
      <c r="E296" s="33">
        <f>23+45/60+60/3600</f>
        <v>23.766666666666666</v>
      </c>
      <c r="F296" s="33">
        <f>90+23/60+20/3600</f>
        <v>90.3888888888889</v>
      </c>
      <c r="G296" s="25" t="s">
        <v>1695</v>
      </c>
      <c r="H296" s="19">
        <f>VLOOKUP( $A296, Sovereignty!$A$2:$L$510, 12, 0 )</f>
        <v>0</v>
      </c>
    </row>
    <row r="297" spans="1:8" x14ac:dyDescent="0.2">
      <c r="A297" s="15" t="s">
        <v>1697</v>
      </c>
      <c r="B297" s="15">
        <v>17680925</v>
      </c>
      <c r="C297" s="15">
        <v>20261231</v>
      </c>
      <c r="D297" s="15" t="s">
        <v>325</v>
      </c>
      <c r="E297" s="33">
        <f>27+42/60</f>
        <v>27.7</v>
      </c>
      <c r="F297" s="33">
        <f>85+19/60</f>
        <v>85.316666666666663</v>
      </c>
      <c r="G297" s="25" t="s">
        <v>1698</v>
      </c>
      <c r="H297" s="19">
        <f>VLOOKUP( $A297, Sovereignty!$A$2:$L$510, 12, 0 )</f>
        <v>0</v>
      </c>
    </row>
    <row r="298" spans="1:8" x14ac:dyDescent="0.2">
      <c r="A298" s="15" t="s">
        <v>1701</v>
      </c>
      <c r="B298" s="15">
        <v>1616</v>
      </c>
      <c r="C298" s="15">
        <v>20261231</v>
      </c>
      <c r="D298" s="15" t="s">
        <v>212</v>
      </c>
      <c r="E298" s="33">
        <f>27+28/60</f>
        <v>27.466666666666665</v>
      </c>
      <c r="F298" s="33">
        <f>89+39.5/60</f>
        <v>89.658333333333331</v>
      </c>
      <c r="G298" s="25" t="s">
        <v>1702</v>
      </c>
      <c r="H298" s="19">
        <f>VLOOKUP( $A298, Sovereignty!$A$2:$L$510, 12, 0 )</f>
        <v>0</v>
      </c>
    </row>
    <row r="299" spans="1:8" x14ac:dyDescent="0.2">
      <c r="A299" s="15" t="s">
        <v>966</v>
      </c>
      <c r="B299" s="15">
        <v>20051106</v>
      </c>
      <c r="C299" s="15">
        <v>20261231</v>
      </c>
      <c r="D299" s="15" t="s">
        <v>323</v>
      </c>
      <c r="E299" s="33">
        <f>19+44/60+51/3600</f>
        <v>19.747500000000002</v>
      </c>
      <c r="F299" s="33">
        <f>96+6/60+54/3600</f>
        <v>96.114999999999995</v>
      </c>
      <c r="G299" s="25" t="s">
        <v>1713</v>
      </c>
      <c r="H299" s="19">
        <f>VLOOKUP( $A299, Sovereignty!$A$2:$L$510, 12, 0 )</f>
        <v>0</v>
      </c>
    </row>
    <row r="300" spans="1:8" x14ac:dyDescent="0.2">
      <c r="A300" s="15" t="s">
        <v>966</v>
      </c>
      <c r="B300" s="15">
        <v>19480104</v>
      </c>
      <c r="C300" s="15">
        <v>20051106</v>
      </c>
      <c r="D300" s="15" t="s">
        <v>1712</v>
      </c>
      <c r="E300" s="33">
        <f>16+47/60+42/3600</f>
        <v>16.795000000000002</v>
      </c>
      <c r="F300" s="33">
        <f>96+9/60+36/3600</f>
        <v>96.160000000000011</v>
      </c>
      <c r="G300" s="25" t="s">
        <v>1714</v>
      </c>
      <c r="H300" s="19">
        <f>VLOOKUP( $A300, Sovereignty!$A$2:$L$510, 12, 0 )</f>
        <v>0</v>
      </c>
    </row>
    <row r="301" spans="1:8" x14ac:dyDescent="0.2">
      <c r="A301" s="15" t="s">
        <v>2365</v>
      </c>
      <c r="B301" s="15">
        <v>18851129</v>
      </c>
      <c r="C301" s="15">
        <v>19480104</v>
      </c>
      <c r="D301" s="15" t="s">
        <v>1712</v>
      </c>
      <c r="E301" s="33">
        <f>16+47/60+42/3600</f>
        <v>16.795000000000002</v>
      </c>
      <c r="F301" s="33">
        <f>96+9/60+36/3600</f>
        <v>96.160000000000011</v>
      </c>
      <c r="G301" s="25" t="s">
        <v>1714</v>
      </c>
      <c r="H301" s="19">
        <f>VLOOKUP( $A301, Sovereignty!$A$2:$L$510, 12, 0 )</f>
        <v>0</v>
      </c>
    </row>
    <row r="302" spans="1:8" x14ac:dyDescent="0.2">
      <c r="A302" s="15" t="s">
        <v>1705</v>
      </c>
      <c r="B302" s="15">
        <v>18570213</v>
      </c>
      <c r="C302" s="15">
        <v>18851129</v>
      </c>
      <c r="D302" s="15" t="s">
        <v>1711</v>
      </c>
      <c r="E302" s="33">
        <f>21+58/60+59/3600</f>
        <v>21.983055555555556</v>
      </c>
      <c r="F302" s="33">
        <f>96+5/60+4/3600</f>
        <v>96.084444444444443</v>
      </c>
      <c r="G302" s="25" t="s">
        <v>1719</v>
      </c>
      <c r="H302" s="19">
        <f>VLOOKUP( $A302, Sovereignty!$A$2:$L$510, 12, 0 )</f>
        <v>0</v>
      </c>
    </row>
    <row r="303" spans="1:8" x14ac:dyDescent="0.2">
      <c r="A303" s="15" t="s">
        <v>1705</v>
      </c>
      <c r="B303" s="15">
        <v>18420101</v>
      </c>
      <c r="C303" s="15">
        <v>18570213</v>
      </c>
      <c r="D303" s="15" t="s">
        <v>1710</v>
      </c>
      <c r="E303" s="33">
        <f>21+54/60</f>
        <v>21.9</v>
      </c>
      <c r="F303" s="33">
        <f>96+3/60</f>
        <v>96.05</v>
      </c>
      <c r="G303" s="25" t="s">
        <v>1718</v>
      </c>
      <c r="H303" s="19">
        <f>VLOOKUP( $A303, Sovereignty!$A$2:$L$510, 12, 0 )</f>
        <v>0</v>
      </c>
    </row>
    <row r="304" spans="1:8" x14ac:dyDescent="0.2">
      <c r="A304" s="15" t="s">
        <v>1705</v>
      </c>
      <c r="B304" s="15">
        <v>18210101</v>
      </c>
      <c r="C304" s="15">
        <v>18420101</v>
      </c>
      <c r="D304" s="15" t="s">
        <v>1709</v>
      </c>
      <c r="E304" s="33">
        <f>21+51/60+28/3600</f>
        <v>21.85777777777778</v>
      </c>
      <c r="F304" s="33">
        <f>95+59/60+6/3600</f>
        <v>95.984999999999999</v>
      </c>
      <c r="G304" s="25" t="s">
        <v>1717</v>
      </c>
      <c r="H304" s="19">
        <f>VLOOKUP( $A304, Sovereignty!$A$2:$L$510, 12, 0 )</f>
        <v>0</v>
      </c>
    </row>
    <row r="305" spans="1:8" x14ac:dyDescent="0.2">
      <c r="A305" s="15" t="s">
        <v>1705</v>
      </c>
      <c r="B305" s="15">
        <v>17830523</v>
      </c>
      <c r="C305" s="15">
        <v>18210101</v>
      </c>
      <c r="D305" s="15" t="s">
        <v>1710</v>
      </c>
      <c r="E305" s="33">
        <f>21+54/60</f>
        <v>21.9</v>
      </c>
      <c r="F305" s="33">
        <f>96+3/60</f>
        <v>96.05</v>
      </c>
      <c r="G305" s="25" t="s">
        <v>1718</v>
      </c>
      <c r="H305" s="19">
        <f>VLOOKUP( $A305, Sovereignty!$A$2:$L$510, 12, 0 )</f>
        <v>0</v>
      </c>
    </row>
    <row r="306" spans="1:8" x14ac:dyDescent="0.2">
      <c r="A306" s="15" t="s">
        <v>1705</v>
      </c>
      <c r="B306" s="15">
        <v>17650101</v>
      </c>
      <c r="C306" s="15">
        <v>17830523</v>
      </c>
      <c r="D306" s="15" t="s">
        <v>1709</v>
      </c>
      <c r="E306" s="33">
        <f>21+51/60+28/3600</f>
        <v>21.85777777777778</v>
      </c>
      <c r="F306" s="33">
        <f>95+59/60+6/3600</f>
        <v>95.984999999999999</v>
      </c>
      <c r="G306" s="25" t="s">
        <v>1717</v>
      </c>
      <c r="H306" s="19">
        <f>VLOOKUP( $A306, Sovereignty!$A$2:$L$510, 12, 0 )</f>
        <v>0</v>
      </c>
    </row>
    <row r="307" spans="1:8" x14ac:dyDescent="0.2">
      <c r="A307" s="15" t="s">
        <v>1705</v>
      </c>
      <c r="B307" s="15">
        <v>17600101</v>
      </c>
      <c r="C307" s="15">
        <v>17650101</v>
      </c>
      <c r="D307" s="15" t="s">
        <v>1708</v>
      </c>
      <c r="E307" s="33">
        <f>21+52/60+56/3600</f>
        <v>21.882222222222222</v>
      </c>
      <c r="F307" s="33">
        <f>95+58/60+43/3600</f>
        <v>95.978611111111107</v>
      </c>
      <c r="G307" s="25" t="s">
        <v>1716</v>
      </c>
      <c r="H307" s="19">
        <f>VLOOKUP( $A307, Sovereignty!$A$2:$L$510, 12, 0 )</f>
        <v>0</v>
      </c>
    </row>
    <row r="308" spans="1:8" x14ac:dyDescent="0.2">
      <c r="A308" s="15" t="s">
        <v>1705</v>
      </c>
      <c r="B308" s="15">
        <v>17520229</v>
      </c>
      <c r="C308" s="15">
        <v>17600101</v>
      </c>
      <c r="D308" s="15" t="s">
        <v>1707</v>
      </c>
      <c r="E308" s="33">
        <f>22+34/60</f>
        <v>22.566666666666666</v>
      </c>
      <c r="F308" s="33">
        <f>95+42/60</f>
        <v>95.7</v>
      </c>
      <c r="G308" s="25" t="s">
        <v>1715</v>
      </c>
      <c r="H308" s="19">
        <f>VLOOKUP( $A308, Sovereignty!$A$2:$L$510, 12, 0 )</f>
        <v>0</v>
      </c>
    </row>
    <row r="309" spans="1:8" x14ac:dyDescent="0.2">
      <c r="A309" s="15" t="s">
        <v>1723</v>
      </c>
      <c r="B309" s="15">
        <v>17670101</v>
      </c>
      <c r="C309" s="15">
        <v>20261231</v>
      </c>
      <c r="D309" s="15" t="s">
        <v>377</v>
      </c>
      <c r="E309" s="33">
        <f>13+44/60+9/3600</f>
        <v>13.735833333333332</v>
      </c>
      <c r="F309" s="33">
        <f>100+29/60+39/3600</f>
        <v>100.49416666666667</v>
      </c>
      <c r="G309" s="25" t="s">
        <v>1726</v>
      </c>
      <c r="H309" s="19">
        <f>VLOOKUP( $A309, Sovereignty!$A$2:$L$510, 12, 0 )</f>
        <v>0</v>
      </c>
    </row>
    <row r="310" spans="1:8" x14ac:dyDescent="0.2">
      <c r="A310" s="15" t="s">
        <v>1723</v>
      </c>
      <c r="B310" s="15">
        <v>13510101</v>
      </c>
      <c r="C310" s="15">
        <v>17670101</v>
      </c>
      <c r="D310" s="15" t="s">
        <v>1724</v>
      </c>
      <c r="E310" s="33">
        <f>14+20/60+52/3600</f>
        <v>14.347777777777779</v>
      </c>
      <c r="F310" s="33">
        <f>100+33/60+38/3600</f>
        <v>100.56055555555555</v>
      </c>
      <c r="G310" s="25" t="s">
        <v>1725</v>
      </c>
      <c r="H310" s="19">
        <f>VLOOKUP( $A310, Sovereignty!$A$2:$L$510, 12, 0 )</f>
        <v>0</v>
      </c>
    </row>
    <row r="311" spans="1:8" x14ac:dyDescent="0.2">
      <c r="A311" s="15" t="s">
        <v>962</v>
      </c>
      <c r="B311" s="15">
        <v>19630916</v>
      </c>
      <c r="C311" s="15">
        <v>20261231</v>
      </c>
      <c r="D311" s="15" t="s">
        <v>309</v>
      </c>
      <c r="E311" s="33">
        <f>3+8/60+52/3600</f>
        <v>3.1477777777777778</v>
      </c>
      <c r="F311" s="33">
        <f>101+41/60+43/3600</f>
        <v>101.69527777777778</v>
      </c>
      <c r="G311" s="25" t="s">
        <v>1742</v>
      </c>
      <c r="H311" s="19">
        <f>VLOOKUP( $A311, Sovereignty!$A$2:$L$510, 12, 0 )</f>
        <v>0</v>
      </c>
    </row>
    <row r="312" spans="1:8" x14ac:dyDescent="0.2">
      <c r="A312" s="15" t="s">
        <v>1737</v>
      </c>
      <c r="B312" s="15">
        <v>18880614</v>
      </c>
      <c r="C312" s="15">
        <v>19630916</v>
      </c>
      <c r="D312" s="15" t="s">
        <v>1743</v>
      </c>
      <c r="E312" s="33">
        <f>1+33/60+27/3600</f>
        <v>1.5575000000000001</v>
      </c>
      <c r="F312" s="33">
        <f>110+20/60+38/3600</f>
        <v>110.34388888888888</v>
      </c>
      <c r="G312" s="25" t="s">
        <v>1744</v>
      </c>
      <c r="H312" s="19">
        <f>VLOOKUP( $A312, Sovereignty!$A$2:$L$510, 12, 0 )</f>
        <v>0</v>
      </c>
    </row>
    <row r="313" spans="1:8" x14ac:dyDescent="0.2">
      <c r="A313" s="15" t="s">
        <v>1736</v>
      </c>
      <c r="B313" s="15">
        <v>18410924</v>
      </c>
      <c r="C313" s="15">
        <v>18880614</v>
      </c>
      <c r="D313" s="15" t="s">
        <v>1743</v>
      </c>
      <c r="E313" s="33">
        <f>1+33/60+27/3600</f>
        <v>1.5575000000000001</v>
      </c>
      <c r="F313" s="33">
        <f>110+20/60+38/3600</f>
        <v>110.34388888888888</v>
      </c>
      <c r="G313" s="25" t="s">
        <v>1744</v>
      </c>
      <c r="H313" s="19">
        <f>VLOOKUP( $A313, Sovereignty!$A$2:$L$510, 12, 0 )</f>
        <v>0</v>
      </c>
    </row>
    <row r="314" spans="1:8" x14ac:dyDescent="0.2">
      <c r="A314" s="15" t="s">
        <v>1738</v>
      </c>
      <c r="B314" s="15">
        <v>19450101</v>
      </c>
      <c r="C314" s="15">
        <v>19630916</v>
      </c>
      <c r="D314" s="15" t="s">
        <v>1747</v>
      </c>
      <c r="E314" s="33">
        <f>5+58/60+30/3600</f>
        <v>5.9750000000000005</v>
      </c>
      <c r="F314" s="33">
        <f>116+4/60+21/3600</f>
        <v>116.07249999999999</v>
      </c>
      <c r="G314" s="25" t="s">
        <v>1748</v>
      </c>
      <c r="H314" s="19">
        <f>VLOOKUP( $A314, Sovereignty!$A$2:$L$510, 12, 0 )</f>
        <v>0</v>
      </c>
    </row>
    <row r="315" spans="1:8" x14ac:dyDescent="0.2">
      <c r="A315" s="15" t="s">
        <v>1738</v>
      </c>
      <c r="B315" s="15">
        <v>18840101</v>
      </c>
      <c r="C315" s="15">
        <v>19450101</v>
      </c>
      <c r="D315" s="15" t="s">
        <v>1746</v>
      </c>
      <c r="E315" s="33">
        <f>5+50/60</f>
        <v>5.833333333333333</v>
      </c>
      <c r="F315" s="33">
        <f>118+7/60</f>
        <v>118.11666666666666</v>
      </c>
      <c r="G315" s="25" t="s">
        <v>1749</v>
      </c>
      <c r="H315" s="19">
        <f>VLOOKUP( $A315, Sovereignty!$A$2:$L$510, 12, 0 )</f>
        <v>0</v>
      </c>
    </row>
    <row r="316" spans="1:8" x14ac:dyDescent="0.2">
      <c r="A316" s="15" t="s">
        <v>1738</v>
      </c>
      <c r="B316" s="15">
        <v>18810826</v>
      </c>
      <c r="C316" s="15">
        <v>18840101</v>
      </c>
      <c r="D316" s="15" t="s">
        <v>1745</v>
      </c>
      <c r="E316" s="33">
        <f>6+53/60</f>
        <v>6.8833333333333329</v>
      </c>
      <c r="F316" s="33">
        <f>116+50/60</f>
        <v>116.83333333333333</v>
      </c>
      <c r="G316" s="25" t="s">
        <v>1750</v>
      </c>
      <c r="H316" s="19">
        <f>VLOOKUP( $A316, Sovereignty!$A$2:$L$510, 12, 0 )</f>
        <v>0</v>
      </c>
    </row>
    <row r="317" spans="1:8" x14ac:dyDescent="0.2">
      <c r="A317" s="15" t="s">
        <v>1740</v>
      </c>
      <c r="B317" s="15">
        <v>18460101</v>
      </c>
      <c r="C317" s="15">
        <v>19460715</v>
      </c>
      <c r="D317" s="15" t="s">
        <v>357</v>
      </c>
      <c r="E317" s="33">
        <f>5+17/60</f>
        <v>5.2833333333333332</v>
      </c>
      <c r="F317" s="33">
        <f>115+14/60</f>
        <v>115.23333333333333</v>
      </c>
      <c r="G317" s="25" t="s">
        <v>1751</v>
      </c>
      <c r="H317" s="19">
        <f>VLOOKUP( $A317, Sovereignty!$A$2:$L$510, 12, 0 )</f>
        <v>0</v>
      </c>
    </row>
    <row r="318" spans="1:8" x14ac:dyDescent="0.2">
      <c r="A318" s="15" t="s">
        <v>1734</v>
      </c>
      <c r="B318" s="15">
        <v>19480131</v>
      </c>
      <c r="C318" s="15">
        <v>19630916</v>
      </c>
      <c r="D318" s="15" t="s">
        <v>309</v>
      </c>
      <c r="E318" s="33">
        <f>3+8/60+52/3600</f>
        <v>3.1477777777777778</v>
      </c>
      <c r="F318" s="33">
        <f>101+41/60+43/3600</f>
        <v>101.69527777777778</v>
      </c>
      <c r="G318" s="25" t="s">
        <v>1742</v>
      </c>
      <c r="H318" s="19">
        <f>VLOOKUP( $A318, Sovereignty!$A$2:$L$510, 12, 0 )</f>
        <v>0</v>
      </c>
    </row>
    <row r="319" spans="1:8" x14ac:dyDescent="0.2">
      <c r="A319" s="15" t="s">
        <v>1731</v>
      </c>
      <c r="B319" s="15">
        <v>19460401</v>
      </c>
      <c r="C319" s="15">
        <v>19480131</v>
      </c>
      <c r="D319" s="15" t="s">
        <v>309</v>
      </c>
      <c r="E319" s="33">
        <f>3+8/60+52/3600</f>
        <v>3.1477777777777778</v>
      </c>
      <c r="F319" s="33">
        <f>101+41/60+43/3600</f>
        <v>101.69527777777778</v>
      </c>
      <c r="G319" s="25" t="s">
        <v>1742</v>
      </c>
      <c r="H319" s="19">
        <f>VLOOKUP( $A319, Sovereignty!$A$2:$L$510, 12, 0 )</f>
        <v>0</v>
      </c>
    </row>
    <row r="320" spans="1:8" x14ac:dyDescent="0.2">
      <c r="A320" s="15" t="s">
        <v>1759</v>
      </c>
      <c r="B320" s="15">
        <v>19720101</v>
      </c>
      <c r="C320" s="15">
        <v>20261231</v>
      </c>
      <c r="D320" s="15" t="s">
        <v>278</v>
      </c>
      <c r="E320" s="33">
        <f>-6-11/60</f>
        <v>-6.1833333333333336</v>
      </c>
      <c r="F320" s="33">
        <f>106+50/60</f>
        <v>106.83333333333333</v>
      </c>
      <c r="G320" s="25" t="s">
        <v>1761</v>
      </c>
      <c r="H320" s="19">
        <f>VLOOKUP( $A320, Sovereignty!$A$2:$L$510, 12, 0 )</f>
        <v>0</v>
      </c>
    </row>
    <row r="321" spans="1:8" x14ac:dyDescent="0.2">
      <c r="A321" s="15" t="s">
        <v>1757</v>
      </c>
      <c r="B321" s="15">
        <v>19420101</v>
      </c>
      <c r="C321" s="15">
        <v>19491227</v>
      </c>
      <c r="D321" s="15" t="s">
        <v>1762</v>
      </c>
      <c r="E321" s="33">
        <f>-6-11/60</f>
        <v>-6.1833333333333336</v>
      </c>
      <c r="F321" s="33">
        <f>106+50/60</f>
        <v>106.83333333333333</v>
      </c>
      <c r="G321" s="25" t="s">
        <v>1761</v>
      </c>
      <c r="H321" s="19">
        <f>VLOOKUP( $A321, Sovereignty!$A$2:$L$510, 12, 0 )</f>
        <v>0</v>
      </c>
    </row>
    <row r="322" spans="1:8" x14ac:dyDescent="0.2">
      <c r="A322" s="15" t="s">
        <v>1757</v>
      </c>
      <c r="B322" s="15">
        <v>18000101</v>
      </c>
      <c r="C322" s="15">
        <v>19420101</v>
      </c>
      <c r="D322" s="15" t="s">
        <v>1760</v>
      </c>
      <c r="E322" s="33">
        <f>-6-11/60</f>
        <v>-6.1833333333333336</v>
      </c>
      <c r="F322" s="33">
        <f>106+50/60</f>
        <v>106.83333333333333</v>
      </c>
      <c r="G322" s="25" t="s">
        <v>1761</v>
      </c>
      <c r="H322" s="19">
        <f>VLOOKUP( $A322, Sovereignty!$A$2:$L$510, 12, 0 )</f>
        <v>0</v>
      </c>
    </row>
    <row r="323" spans="1:8" x14ac:dyDescent="0.2">
      <c r="A323" s="15" t="s">
        <v>2366</v>
      </c>
      <c r="B323" s="15">
        <v>20020520</v>
      </c>
      <c r="C323" s="15">
        <v>20261231</v>
      </c>
      <c r="D323" s="15" t="s">
        <v>246</v>
      </c>
      <c r="E323" s="33">
        <f>-8-33/60-13/3600</f>
        <v>-8.5536111111111115</v>
      </c>
      <c r="F323" s="33">
        <f>125+34/60+42/3600</f>
        <v>125.57833333333333</v>
      </c>
      <c r="G323" s="25" t="s">
        <v>1769</v>
      </c>
      <c r="H323" s="19">
        <f>VLOOKUP( $A323, Sovereignty!$A$2:$L$510, 12, 0 )</f>
        <v>0</v>
      </c>
    </row>
    <row r="324" spans="1:8" x14ac:dyDescent="0.2">
      <c r="A324" s="15" t="s">
        <v>1764</v>
      </c>
      <c r="B324" s="15">
        <v>17690101</v>
      </c>
      <c r="C324" s="15">
        <v>19751207</v>
      </c>
      <c r="D324" s="15" t="s">
        <v>246</v>
      </c>
      <c r="E324" s="33">
        <f>-8-33/60-13/3600</f>
        <v>-8.5536111111111115</v>
      </c>
      <c r="F324" s="33">
        <f>125+34/60+42/3600</f>
        <v>125.57833333333333</v>
      </c>
      <c r="G324" s="25" t="s">
        <v>1769</v>
      </c>
      <c r="H324" s="19">
        <f>VLOOKUP( $A324, Sovereignty!$A$2:$L$510, 12, 0 )</f>
        <v>0</v>
      </c>
    </row>
    <row r="325" spans="1:8" x14ac:dyDescent="0.2">
      <c r="A325" s="15" t="s">
        <v>1764</v>
      </c>
      <c r="B325" s="15">
        <v>17020101</v>
      </c>
      <c r="C325" s="15">
        <v>17690101</v>
      </c>
      <c r="D325" s="15" t="s">
        <v>1767</v>
      </c>
      <c r="E325" s="33">
        <f>-9-13/60</f>
        <v>-9.2166666666666668</v>
      </c>
      <c r="F325" s="33">
        <f>124+18/60</f>
        <v>124.3</v>
      </c>
      <c r="G325" s="25" t="s">
        <v>1768</v>
      </c>
      <c r="H325" s="19">
        <f>VLOOKUP( $A325, Sovereignty!$A$2:$L$510, 12, 0 )</f>
        <v>0</v>
      </c>
    </row>
    <row r="326" spans="1:8" x14ac:dyDescent="0.2">
      <c r="A326" s="15" t="s">
        <v>949</v>
      </c>
      <c r="B326" s="15">
        <v>19840101</v>
      </c>
      <c r="C326" s="15">
        <v>20261231</v>
      </c>
      <c r="D326" s="15" t="s">
        <v>217</v>
      </c>
      <c r="E326" s="33">
        <f>4+53/60+25/3600</f>
        <v>4.8902777777777775</v>
      </c>
      <c r="F326" s="33">
        <f>114+56/60+32/3600</f>
        <v>114.94222222222223</v>
      </c>
      <c r="G326" s="25" t="s">
        <v>1774</v>
      </c>
      <c r="H326" s="19">
        <f>VLOOKUP( $A326, Sovereignty!$A$2:$L$510, 12, 0 )</f>
        <v>0</v>
      </c>
    </row>
    <row r="327" spans="1:8" x14ac:dyDescent="0.2">
      <c r="A327" s="15" t="s">
        <v>1771</v>
      </c>
      <c r="B327" s="15">
        <v>18880917</v>
      </c>
      <c r="C327" s="15">
        <v>19840101</v>
      </c>
      <c r="D327" s="15" t="s">
        <v>217</v>
      </c>
      <c r="E327" s="33">
        <f>4+53/60+25/3600</f>
        <v>4.8902777777777775</v>
      </c>
      <c r="F327" s="33">
        <f>114+56/60+32/3600</f>
        <v>114.94222222222223</v>
      </c>
      <c r="G327" s="25" t="s">
        <v>1774</v>
      </c>
      <c r="H327" s="19">
        <f>VLOOKUP( $A327, Sovereignty!$A$2:$L$510, 12, 0 )</f>
        <v>0</v>
      </c>
    </row>
    <row r="328" spans="1:8" x14ac:dyDescent="0.2">
      <c r="A328" s="15" t="s">
        <v>1771</v>
      </c>
      <c r="B328" s="15">
        <v>18880917</v>
      </c>
      <c r="C328" s="15">
        <v>19840101</v>
      </c>
      <c r="D328" s="15" t="s">
        <v>1775</v>
      </c>
      <c r="E328" s="33">
        <f t="shared" ref="E328:E329" si="44">4+53/60+25/3600</f>
        <v>4.8902777777777775</v>
      </c>
      <c r="F328" s="33">
        <f t="shared" ref="F328:F329" si="45">114+56/60+32/3600</f>
        <v>114.94222222222223</v>
      </c>
      <c r="G328" s="25" t="s">
        <v>1774</v>
      </c>
      <c r="H328" s="19">
        <f>VLOOKUP( $A328, Sovereignty!$A$2:$L$510, 12, 0 )</f>
        <v>0</v>
      </c>
    </row>
    <row r="329" spans="1:8" x14ac:dyDescent="0.2">
      <c r="A329" s="15" t="s">
        <v>1772</v>
      </c>
      <c r="B329" s="15">
        <v>13680101</v>
      </c>
      <c r="C329" s="15">
        <v>18880917</v>
      </c>
      <c r="D329" s="15" t="s">
        <v>1775</v>
      </c>
      <c r="E329" s="33">
        <f t="shared" si="44"/>
        <v>4.8902777777777775</v>
      </c>
      <c r="F329" s="33">
        <f t="shared" si="45"/>
        <v>114.94222222222223</v>
      </c>
      <c r="G329" s="25" t="s">
        <v>1774</v>
      </c>
      <c r="H329" s="19">
        <f>VLOOKUP( $A329, Sovereignty!$A$2:$L$510, 12, 0 )</f>
        <v>0</v>
      </c>
    </row>
    <row r="330" spans="1:8" x14ac:dyDescent="0.2">
      <c r="A330" s="15" t="s">
        <v>965</v>
      </c>
      <c r="B330" s="15">
        <v>19460704</v>
      </c>
      <c r="C330" s="15">
        <v>20261231</v>
      </c>
      <c r="D330" s="15" t="s">
        <v>341</v>
      </c>
      <c r="E330" s="33">
        <f>14+35/60+29/3600</f>
        <v>14.59138888888889</v>
      </c>
      <c r="F330" s="33">
        <f>120+58/60+25/3600</f>
        <v>120.97361111111111</v>
      </c>
      <c r="G330" s="25" t="s">
        <v>1781</v>
      </c>
      <c r="H330" s="19">
        <f>VLOOKUP( $A330, Sovereignty!$A$2:$L$510, 12, 0 )</f>
        <v>0</v>
      </c>
    </row>
    <row r="331" spans="1:8" x14ac:dyDescent="0.2">
      <c r="A331" s="15" t="s">
        <v>1779</v>
      </c>
      <c r="B331" s="15">
        <v>18981210</v>
      </c>
      <c r="C331" s="15">
        <v>19460704</v>
      </c>
      <c r="D331" s="15" t="s">
        <v>341</v>
      </c>
      <c r="E331" s="33">
        <f>14+35/60+29/3600</f>
        <v>14.59138888888889</v>
      </c>
      <c r="F331" s="33">
        <f>120+58/60+25/3600</f>
        <v>120.97361111111111</v>
      </c>
      <c r="G331" s="25" t="s">
        <v>1781</v>
      </c>
      <c r="H331" s="19">
        <f>VLOOKUP( $A331, Sovereignty!$A$2:$L$510, 12, 0 )</f>
        <v>0</v>
      </c>
    </row>
    <row r="332" spans="1:8" x14ac:dyDescent="0.2">
      <c r="A332" s="15" t="s">
        <v>952</v>
      </c>
      <c r="B332" s="15">
        <v>19531109</v>
      </c>
      <c r="C332" s="15">
        <v>20261231</v>
      </c>
      <c r="D332" s="15" t="s">
        <v>224</v>
      </c>
      <c r="E332" s="33">
        <f>11+34/60+10/3600</f>
        <v>11.569444444444445</v>
      </c>
      <c r="F332" s="33">
        <f>104+55/60+16/3600</f>
        <v>104.92111111111112</v>
      </c>
      <c r="G332" s="25" t="s">
        <v>1783</v>
      </c>
      <c r="H332" s="19">
        <f>VLOOKUP( $A332, Sovereignty!$A$2:$L$510, 12, 0 )</f>
        <v>0</v>
      </c>
    </row>
    <row r="333" spans="1:8" x14ac:dyDescent="0.2">
      <c r="A333" s="15" t="s">
        <v>1784</v>
      </c>
      <c r="B333" s="15">
        <v>18660101</v>
      </c>
      <c r="C333" s="15">
        <v>19531109</v>
      </c>
      <c r="D333" s="15" t="s">
        <v>224</v>
      </c>
      <c r="E333" s="33">
        <f t="shared" ref="E333:E338" si="46">11+34/60+10/3600</f>
        <v>11.569444444444445</v>
      </c>
      <c r="F333" s="33">
        <f t="shared" ref="F333:F338" si="47">104+55/60+16/3600</f>
        <v>104.92111111111112</v>
      </c>
      <c r="G333" s="25" t="s">
        <v>1783</v>
      </c>
      <c r="H333" s="19">
        <f>VLOOKUP( $A333, Sovereignty!$A$2:$L$510, 12, 0 )</f>
        <v>0</v>
      </c>
    </row>
    <row r="334" spans="1:8" x14ac:dyDescent="0.2">
      <c r="A334" s="15" t="s">
        <v>1784</v>
      </c>
      <c r="B334" s="15">
        <v>18630811</v>
      </c>
      <c r="C334" s="15">
        <v>18660101</v>
      </c>
      <c r="D334" s="15" t="s">
        <v>1790</v>
      </c>
      <c r="E334" s="33">
        <f>11+49/60+26/3600</f>
        <v>11.823888888888888</v>
      </c>
      <c r="F334" s="33">
        <f>104+44/60+33/3600</f>
        <v>104.74250000000001</v>
      </c>
      <c r="G334" s="25" t="s">
        <v>1793</v>
      </c>
      <c r="H334" s="19">
        <f>VLOOKUP( $A334, Sovereignty!$A$2:$L$510, 12, 0 )</f>
        <v>0</v>
      </c>
    </row>
    <row r="335" spans="1:8" x14ac:dyDescent="0.2">
      <c r="A335" s="15" t="s">
        <v>1786</v>
      </c>
      <c r="B335" s="15">
        <v>16200101</v>
      </c>
      <c r="C335" s="15">
        <v>18630811</v>
      </c>
      <c r="D335" s="15" t="s">
        <v>1790</v>
      </c>
      <c r="E335" s="33">
        <f>11+49/60+26/3600</f>
        <v>11.823888888888888</v>
      </c>
      <c r="F335" s="33">
        <f>104+44/60+33/3600</f>
        <v>104.74250000000001</v>
      </c>
      <c r="G335" s="25" t="s">
        <v>1793</v>
      </c>
      <c r="H335" s="19">
        <f>VLOOKUP( $A335, Sovereignty!$A$2:$L$510, 12, 0 )</f>
        <v>0</v>
      </c>
    </row>
    <row r="336" spans="1:8" x14ac:dyDescent="0.2">
      <c r="A336" s="15" t="s">
        <v>1786</v>
      </c>
      <c r="B336" s="15">
        <v>15940101</v>
      </c>
      <c r="C336" s="15">
        <v>16200101</v>
      </c>
      <c r="D336" s="15" t="s">
        <v>1789</v>
      </c>
      <c r="E336" s="33">
        <f>11+50/60+31/3600</f>
        <v>11.841944444444445</v>
      </c>
      <c r="F336" s="33">
        <f>105+7/60+33/3600</f>
        <v>105.12583333333333</v>
      </c>
      <c r="G336" s="25" t="s">
        <v>1792</v>
      </c>
      <c r="H336" s="19">
        <f>VLOOKUP( $A336, Sovereignty!$A$2:$L$510, 12, 0 )</f>
        <v>0</v>
      </c>
    </row>
    <row r="337" spans="1:8" x14ac:dyDescent="0.2">
      <c r="A337" s="15" t="s">
        <v>1786</v>
      </c>
      <c r="B337" s="15">
        <v>15250101</v>
      </c>
      <c r="C337" s="15">
        <v>15940101</v>
      </c>
      <c r="D337" s="15" t="s">
        <v>1788</v>
      </c>
      <c r="E337" s="33">
        <f>11+51/60+53/3600</f>
        <v>11.864722222222222</v>
      </c>
      <c r="F337" s="33">
        <f>104+45/60+14/3600</f>
        <v>104.75388888888889</v>
      </c>
      <c r="G337" s="25" t="s">
        <v>1791</v>
      </c>
      <c r="H337" s="19">
        <f>VLOOKUP( $A337, Sovereignty!$A$2:$L$510, 12, 0 )</f>
        <v>0</v>
      </c>
    </row>
    <row r="338" spans="1:8" x14ac:dyDescent="0.2">
      <c r="A338" s="15" t="s">
        <v>1786</v>
      </c>
      <c r="B338" s="15">
        <v>14310101</v>
      </c>
      <c r="C338" s="15">
        <v>15250101</v>
      </c>
      <c r="D338" s="15" t="s">
        <v>1787</v>
      </c>
      <c r="E338" s="33">
        <f t="shared" si="46"/>
        <v>11.569444444444445</v>
      </c>
      <c r="F338" s="33">
        <f t="shared" si="47"/>
        <v>104.92111111111112</v>
      </c>
      <c r="G338" s="25" t="s">
        <v>1783</v>
      </c>
      <c r="H338" s="19">
        <f>VLOOKUP( $A338, Sovereignty!$A$2:$L$510, 12, 0 )</f>
        <v>0</v>
      </c>
    </row>
    <row r="339" spans="1:8" x14ac:dyDescent="0.2">
      <c r="A339" s="15" t="s">
        <v>955</v>
      </c>
      <c r="B339" s="15">
        <v>19531022</v>
      </c>
      <c r="C339" s="15">
        <v>20261231</v>
      </c>
      <c r="D339" s="15" t="s">
        <v>299</v>
      </c>
      <c r="E339" s="33">
        <f>17.98</f>
        <v>17.98</v>
      </c>
      <c r="F339" s="33">
        <f>102.63</f>
        <v>102.63</v>
      </c>
      <c r="G339" s="25" t="s">
        <v>1802</v>
      </c>
      <c r="H339" s="19">
        <f>VLOOKUP( $A339, Sovereignty!$A$2:$L$510, 12, 0 )</f>
        <v>0</v>
      </c>
    </row>
    <row r="340" spans="1:8" x14ac:dyDescent="0.2">
      <c r="A340" s="15" t="s">
        <v>1794</v>
      </c>
      <c r="B340" s="15">
        <v>18931003</v>
      </c>
      <c r="C340" s="15">
        <v>19531022</v>
      </c>
      <c r="D340" s="15" t="s">
        <v>299</v>
      </c>
      <c r="E340" s="33">
        <f>17.98</f>
        <v>17.98</v>
      </c>
      <c r="F340" s="33">
        <f>102.63</f>
        <v>102.63</v>
      </c>
      <c r="G340" s="25" t="s">
        <v>1802</v>
      </c>
      <c r="H340" s="19">
        <f>VLOOKUP( $A340, Sovereignty!$A$2:$L$510, 12, 0 )</f>
        <v>0</v>
      </c>
    </row>
    <row r="341" spans="1:8" x14ac:dyDescent="0.2">
      <c r="A341" s="15" t="s">
        <v>1795</v>
      </c>
      <c r="B341" s="15">
        <v>17070101</v>
      </c>
      <c r="C341" s="15">
        <v>18931003</v>
      </c>
      <c r="D341" s="15" t="s">
        <v>1800</v>
      </c>
      <c r="E341" s="33">
        <f>19+53/60+24/3600</f>
        <v>19.89</v>
      </c>
      <c r="F341" s="33">
        <f>102+8/60+5/3600</f>
        <v>102.13472222222222</v>
      </c>
      <c r="G341" s="25" t="s">
        <v>1801</v>
      </c>
      <c r="H341" s="19">
        <f>VLOOKUP( $A341, Sovereignty!$A$2:$L$510, 12, 0 )</f>
        <v>0</v>
      </c>
    </row>
    <row r="342" spans="1:8" x14ac:dyDescent="0.2">
      <c r="A342" s="15" t="s">
        <v>957</v>
      </c>
      <c r="B342" s="15">
        <v>19760702</v>
      </c>
      <c r="C342" s="15">
        <v>20261231</v>
      </c>
      <c r="D342" s="15" t="s">
        <v>395</v>
      </c>
      <c r="E342" s="33">
        <f>21+1/60+42/3600</f>
        <v>21.028333333333332</v>
      </c>
      <c r="F342" s="33">
        <f>105+51/60+15/3600</f>
        <v>105.85416666666666</v>
      </c>
      <c r="G342" s="25" t="s">
        <v>1817</v>
      </c>
      <c r="H342" s="19">
        <f>VLOOKUP( $A342, Sovereignty!$A$2:$L$510, 12, 0 )</f>
        <v>0</v>
      </c>
    </row>
    <row r="343" spans="1:8" x14ac:dyDescent="0.2">
      <c r="A343" s="15" t="s">
        <v>1806</v>
      </c>
      <c r="B343" s="15">
        <v>19540721</v>
      </c>
      <c r="C343" s="15">
        <v>19750430</v>
      </c>
      <c r="D343" s="15" t="s">
        <v>1814</v>
      </c>
      <c r="E343" s="33">
        <f>10+46/60+32/3600</f>
        <v>10.775555555555556</v>
      </c>
      <c r="F343" s="33">
        <f>106+42/60+7/3600</f>
        <v>106.70194444444445</v>
      </c>
      <c r="G343" s="25" t="s">
        <v>1815</v>
      </c>
      <c r="H343" s="19">
        <f>VLOOKUP( $A343, Sovereignty!$A$2:$L$510, 12, 0 )</f>
        <v>0</v>
      </c>
    </row>
    <row r="344" spans="1:8" x14ac:dyDescent="0.2">
      <c r="A344" s="15" t="s">
        <v>1805</v>
      </c>
      <c r="B344" s="15">
        <v>19540721</v>
      </c>
      <c r="C344" s="15">
        <v>19760702</v>
      </c>
      <c r="D344" s="15" t="s">
        <v>395</v>
      </c>
      <c r="E344" s="33">
        <f>21+1/60+42/3600</f>
        <v>21.028333333333332</v>
      </c>
      <c r="F344" s="33">
        <f>105+51/60+15/3600</f>
        <v>105.85416666666666</v>
      </c>
      <c r="G344" s="25" t="s">
        <v>1817</v>
      </c>
      <c r="H344" s="19">
        <f>VLOOKUP( $A344, Sovereignty!$A$2:$L$510, 12, 0 )</f>
        <v>0</v>
      </c>
    </row>
    <row r="345" spans="1:8" x14ac:dyDescent="0.2">
      <c r="A345" s="15" t="s">
        <v>1804</v>
      </c>
      <c r="B345" s="15">
        <v>19020101</v>
      </c>
      <c r="C345" s="15">
        <v>19540721</v>
      </c>
      <c r="D345" s="15" t="s">
        <v>1814</v>
      </c>
      <c r="E345" s="33">
        <f>10+46/60+32/3600</f>
        <v>10.775555555555556</v>
      </c>
      <c r="F345" s="33">
        <f>106+42/60+7/3600</f>
        <v>106.70194444444445</v>
      </c>
      <c r="G345" s="25" t="s">
        <v>1815</v>
      </c>
      <c r="H345" s="19">
        <f>VLOOKUP( $A345, Sovereignty!$A$2:$L$510, 12, 0 )</f>
        <v>0</v>
      </c>
    </row>
    <row r="346" spans="1:8" x14ac:dyDescent="0.2">
      <c r="A346" s="15" t="s">
        <v>1804</v>
      </c>
      <c r="B346" s="15">
        <v>19020101</v>
      </c>
      <c r="C346" s="15">
        <v>19540721</v>
      </c>
      <c r="D346" s="15" t="s">
        <v>395</v>
      </c>
      <c r="E346" s="33">
        <f>21</f>
        <v>21</v>
      </c>
      <c r="F346" s="33">
        <f>105.85</f>
        <v>105.85</v>
      </c>
      <c r="G346" s="25" t="s">
        <v>1816</v>
      </c>
      <c r="H346" s="19">
        <f>VLOOKUP( $A346, Sovereignty!$A$2:$L$510, 12, 0 )</f>
        <v>0</v>
      </c>
    </row>
    <row r="347" spans="1:8" x14ac:dyDescent="0.2">
      <c r="A347" s="15" t="s">
        <v>1804</v>
      </c>
      <c r="B347" s="15">
        <v>18840606</v>
      </c>
      <c r="C347" s="15">
        <v>19020101</v>
      </c>
      <c r="D347" s="15" t="s">
        <v>1814</v>
      </c>
      <c r="E347" s="33">
        <f>10+46/60+32/3600</f>
        <v>10.775555555555556</v>
      </c>
      <c r="F347" s="33">
        <f>106+42/60+7/3600</f>
        <v>106.70194444444445</v>
      </c>
      <c r="G347" s="25" t="s">
        <v>1815</v>
      </c>
      <c r="H347" s="19">
        <f>VLOOKUP( $A347, Sovereignty!$A$2:$L$510, 12, 0 )</f>
        <v>0</v>
      </c>
    </row>
    <row r="348" spans="1:8" x14ac:dyDescent="0.2">
      <c r="A348" s="15" t="s">
        <v>1803</v>
      </c>
      <c r="B348" s="15">
        <v>18020601</v>
      </c>
      <c r="C348" s="15">
        <v>18840606</v>
      </c>
      <c r="D348" s="15" t="s">
        <v>1812</v>
      </c>
      <c r="E348" s="33">
        <f>16+28/60</f>
        <v>16.466666666666665</v>
      </c>
      <c r="F348" s="33">
        <f>107+36/60</f>
        <v>107.6</v>
      </c>
      <c r="G348" s="25" t="s">
        <v>1813</v>
      </c>
      <c r="H348" s="19">
        <f>VLOOKUP( $A348, Sovereignty!$A$2:$L$510, 12, 0 )</f>
        <v>0</v>
      </c>
    </row>
    <row r="349" spans="1:8" x14ac:dyDescent="0.2">
      <c r="A349" s="15" t="s">
        <v>1826</v>
      </c>
      <c r="B349" s="15">
        <v>19120101</v>
      </c>
      <c r="C349" s="15">
        <v>19491001</v>
      </c>
      <c r="D349" s="15" t="s">
        <v>1830</v>
      </c>
      <c r="E349" s="33">
        <f>32+3/60+39/3600</f>
        <v>32.060833333333328</v>
      </c>
      <c r="F349" s="33">
        <f>118+46/60+44/3600</f>
        <v>118.77888888888889</v>
      </c>
      <c r="G349" s="25" t="s">
        <v>1831</v>
      </c>
      <c r="H349" s="19">
        <f>VLOOKUP( $A349, Sovereignty!$A$2:$L$510, 12, 0 )</f>
        <v>0</v>
      </c>
    </row>
    <row r="350" spans="1:8" x14ac:dyDescent="0.2">
      <c r="A350" s="15" t="s">
        <v>1826</v>
      </c>
      <c r="B350" s="15">
        <v>16440101</v>
      </c>
      <c r="C350" s="15">
        <v>19120101</v>
      </c>
      <c r="D350" s="15" t="s">
        <v>230</v>
      </c>
      <c r="E350" s="33">
        <f>39+54/60+24/3600</f>
        <v>39.906666666666666</v>
      </c>
      <c r="F350" s="33">
        <f>116+23/60+51/3600</f>
        <v>116.39750000000001</v>
      </c>
      <c r="G350" s="25" t="s">
        <v>1829</v>
      </c>
      <c r="H350" s="19">
        <f>VLOOKUP( $A350, Sovereignty!$A$2:$L$510, 12, 0 )</f>
        <v>0</v>
      </c>
    </row>
    <row r="351" spans="1:8" x14ac:dyDescent="0.2">
      <c r="A351" s="15" t="s">
        <v>1827</v>
      </c>
      <c r="B351" s="15">
        <v>19491001</v>
      </c>
      <c r="C351" s="15">
        <v>20261231</v>
      </c>
      <c r="D351" s="15" t="s">
        <v>230</v>
      </c>
      <c r="E351" s="33">
        <f>39+54/60+24/3600</f>
        <v>39.906666666666666</v>
      </c>
      <c r="F351" s="33">
        <f>116+23/60+51/3600</f>
        <v>116.39750000000001</v>
      </c>
      <c r="G351" s="25" t="s">
        <v>1829</v>
      </c>
      <c r="H351" s="19">
        <f>VLOOKUP( $A351, Sovereignty!$A$2:$L$510, 12, 0 )</f>
        <v>0</v>
      </c>
    </row>
    <row r="352" spans="1:8" x14ac:dyDescent="0.2">
      <c r="A352" s="15" t="s">
        <v>956</v>
      </c>
      <c r="B352" s="15">
        <v>19491001</v>
      </c>
      <c r="C352" s="15">
        <v>20261231</v>
      </c>
      <c r="D352" s="15" t="s">
        <v>372</v>
      </c>
      <c r="E352" s="33">
        <f>25+2/60+15/3600</f>
        <v>25.037500000000001</v>
      </c>
      <c r="F352" s="33">
        <f>121+33/60+45/3600</f>
        <v>121.5625</v>
      </c>
      <c r="G352" s="25" t="s">
        <v>1834</v>
      </c>
      <c r="H352" s="19">
        <f>VLOOKUP( $A352, Sovereignty!$A$2:$L$510, 12, 0 )</f>
        <v>0</v>
      </c>
    </row>
    <row r="353" spans="1:8" x14ac:dyDescent="0.2">
      <c r="A353" s="15" t="s">
        <v>1835</v>
      </c>
      <c r="B353" s="15">
        <v>18680103</v>
      </c>
      <c r="C353" s="15">
        <v>20261231</v>
      </c>
      <c r="D353" s="15" t="s">
        <v>290</v>
      </c>
      <c r="E353" s="33">
        <f>35+41/60+23/3600</f>
        <v>35.689722222222215</v>
      </c>
      <c r="F353" s="33">
        <f>139+41/60+32/3600</f>
        <v>139.69222222222223</v>
      </c>
      <c r="G353" s="25" t="s">
        <v>1839</v>
      </c>
      <c r="H353" s="19">
        <f>VLOOKUP( $A353, Sovereignty!$A$2:$L$510, 12, 0 )</f>
        <v>0</v>
      </c>
    </row>
    <row r="354" spans="1:8" x14ac:dyDescent="0.2">
      <c r="A354" s="15" t="s">
        <v>1835</v>
      </c>
      <c r="B354" s="15">
        <v>16030101</v>
      </c>
      <c r="C354" s="15">
        <v>18680103</v>
      </c>
      <c r="D354" s="15" t="s">
        <v>1836</v>
      </c>
      <c r="E354" s="33">
        <f>35+41/60+2/3600</f>
        <v>35.683888888888887</v>
      </c>
      <c r="F354" s="33">
        <f>139+46/60+28/3600</f>
        <v>139.77444444444447</v>
      </c>
      <c r="G354" s="25" t="s">
        <v>1840</v>
      </c>
      <c r="H354" s="19">
        <f>VLOOKUP( $A354, Sovereignty!$A$2:$L$510, 12, 0 )</f>
        <v>0</v>
      </c>
    </row>
    <row r="355" spans="1:8" x14ac:dyDescent="0.2">
      <c r="A355" s="15" t="s">
        <v>2368</v>
      </c>
      <c r="B355" s="15">
        <v>19450815</v>
      </c>
      <c r="C355" s="15">
        <v>20261231</v>
      </c>
      <c r="D355" s="15" t="s">
        <v>363</v>
      </c>
      <c r="E355" s="33">
        <f>37+33/60+36/3600</f>
        <v>37.559999999999995</v>
      </c>
      <c r="F355" s="33">
        <f>126+59/60+24/3600</f>
        <v>126.99</v>
      </c>
      <c r="G355" s="25" t="s">
        <v>1848</v>
      </c>
      <c r="H355" s="19">
        <f>VLOOKUP( $A355, Sovereignty!$A$2:$L$510, 12, 0 )</f>
        <v>0</v>
      </c>
    </row>
    <row r="356" spans="1:8" x14ac:dyDescent="0.2">
      <c r="A356" s="15" t="s">
        <v>2369</v>
      </c>
      <c r="B356" s="15">
        <v>19450815</v>
      </c>
      <c r="C356" s="15">
        <v>20261231</v>
      </c>
      <c r="D356" s="15" t="s">
        <v>331</v>
      </c>
      <c r="E356" s="33">
        <f>39+1/60</f>
        <v>39.016666666666666</v>
      </c>
      <c r="F356" s="33">
        <f>125+44/60+51/3600</f>
        <v>125.7475</v>
      </c>
      <c r="G356" s="25" t="s">
        <v>1849</v>
      </c>
      <c r="H356" s="19">
        <f>VLOOKUP( $A356, Sovereignty!$A$2:$L$510, 12, 0 )</f>
        <v>0</v>
      </c>
    </row>
    <row r="357" spans="1:8" x14ac:dyDescent="0.2">
      <c r="A357" s="15" t="s">
        <v>1842</v>
      </c>
      <c r="B357" s="15">
        <v>19100829</v>
      </c>
      <c r="C357" s="15">
        <v>19450815</v>
      </c>
      <c r="D357" s="15" t="s">
        <v>1845</v>
      </c>
      <c r="E357" s="33">
        <f>37+33/60+36/3600</f>
        <v>37.559999999999995</v>
      </c>
      <c r="F357" s="33">
        <f>126+59/60+24/3600</f>
        <v>126.99</v>
      </c>
      <c r="G357" s="25" t="s">
        <v>1848</v>
      </c>
      <c r="H357" s="19">
        <f>VLOOKUP( $A357, Sovereignty!$A$2:$L$510, 12, 0 )</f>
        <v>0</v>
      </c>
    </row>
    <row r="358" spans="1:8" x14ac:dyDescent="0.2">
      <c r="A358" s="15" t="s">
        <v>1843</v>
      </c>
      <c r="B358" s="15">
        <v>13920805</v>
      </c>
      <c r="C358" s="15">
        <v>19100829</v>
      </c>
      <c r="D358" s="15" t="s">
        <v>1847</v>
      </c>
      <c r="E358" s="33">
        <f>37+33/60+36/3600</f>
        <v>37.559999999999995</v>
      </c>
      <c r="F358" s="33">
        <f>126+59/60+24/3600</f>
        <v>126.99</v>
      </c>
      <c r="G358" s="25" t="s">
        <v>1848</v>
      </c>
      <c r="H358" s="19">
        <f>VLOOKUP( $A358, Sovereignty!$A$2:$L$510, 12, 0 )</f>
        <v>0</v>
      </c>
    </row>
    <row r="359" spans="1:8" x14ac:dyDescent="0.2">
      <c r="A359" s="15" t="s">
        <v>1853</v>
      </c>
      <c r="B359" s="15">
        <v>19111229</v>
      </c>
      <c r="C359" s="15">
        <v>20261231</v>
      </c>
      <c r="D359" s="15" t="s">
        <v>318</v>
      </c>
      <c r="E359" s="33">
        <f>47+55/60+19/3600</f>
        <v>47.921944444444442</v>
      </c>
      <c r="F359" s="33">
        <f>106+54/60+55/3600</f>
        <v>106.91527777777779</v>
      </c>
      <c r="G359" s="25" t="s">
        <v>1856</v>
      </c>
      <c r="H359" s="19">
        <f>VLOOKUP( $A359, Sovereignty!$A$2:$L$510, 12, 0 )</f>
        <v>0</v>
      </c>
    </row>
    <row r="360" spans="1:8" x14ac:dyDescent="0.2">
      <c r="A360" s="15" t="s">
        <v>1854</v>
      </c>
      <c r="B360" s="15">
        <v>16910101</v>
      </c>
      <c r="C360" s="15">
        <v>19111229</v>
      </c>
      <c r="D360" s="15" t="s">
        <v>1858</v>
      </c>
      <c r="E360" s="33">
        <f>47+44/60+34/3600</f>
        <v>47.742777777777782</v>
      </c>
      <c r="F360" s="33">
        <f>96+50/60+36/3600</f>
        <v>96.843333333333334</v>
      </c>
      <c r="G360" s="25" t="s">
        <v>1859</v>
      </c>
      <c r="H360" s="19">
        <f>VLOOKUP( $A360, Sovereignty!$A$2:$L$510, 12, 0 )</f>
        <v>0</v>
      </c>
    </row>
    <row r="361" spans="1:8" x14ac:dyDescent="0.2">
      <c r="A361" s="15" t="s">
        <v>950</v>
      </c>
      <c r="B361" s="15">
        <v>19910831</v>
      </c>
      <c r="C361" s="15">
        <v>20261231</v>
      </c>
      <c r="D361" s="15" t="s">
        <v>298</v>
      </c>
      <c r="E361" s="33">
        <f>42+52/60+29/3600</f>
        <v>42.874722222222225</v>
      </c>
      <c r="F361" s="33">
        <f>74+36/60+44/3600</f>
        <v>74.612222222222215</v>
      </c>
      <c r="G361" s="25" t="s">
        <v>1860</v>
      </c>
      <c r="H361" s="19">
        <f>VLOOKUP( $A361, Sovereignty!$A$2:$L$510, 12, 0 )</f>
        <v>0</v>
      </c>
    </row>
    <row r="362" spans="1:8" x14ac:dyDescent="0.2">
      <c r="A362" s="15" t="s">
        <v>953</v>
      </c>
      <c r="B362" s="15">
        <v>19910909</v>
      </c>
      <c r="C362" s="15">
        <v>20261231</v>
      </c>
      <c r="D362" s="15" t="s">
        <v>373</v>
      </c>
      <c r="E362" s="33">
        <f>38+32/60+12/3600</f>
        <v>38.536666666666662</v>
      </c>
      <c r="F362" s="33">
        <f>68+46/60+48/3600</f>
        <v>68.78</v>
      </c>
      <c r="G362" s="25" t="s">
        <v>1862</v>
      </c>
      <c r="H362" s="19">
        <f>VLOOKUP( $A362, Sovereignty!$A$2:$L$510, 12, 0 )</f>
        <v>0</v>
      </c>
    </row>
    <row r="363" spans="1:8" x14ac:dyDescent="0.2">
      <c r="A363" s="15" t="s">
        <v>958</v>
      </c>
      <c r="B363" s="15">
        <v>19910901</v>
      </c>
      <c r="C363" s="15">
        <v>20261231</v>
      </c>
      <c r="D363" s="15" t="s">
        <v>392</v>
      </c>
      <c r="E363" s="33">
        <f>41+18/60+40/3600</f>
        <v>41.31111111111111</v>
      </c>
      <c r="F363" s="33">
        <f>69+16/60+47/3600</f>
        <v>69.279722222222219</v>
      </c>
      <c r="G363" s="25" t="s">
        <v>1865</v>
      </c>
      <c r="H363" s="19">
        <f>VLOOKUP( $A363, Sovereignty!$A$2:$L$510, 12, 0 )</f>
        <v>0</v>
      </c>
    </row>
    <row r="364" spans="1:8" x14ac:dyDescent="0.2">
      <c r="A364" s="15" t="s">
        <v>951</v>
      </c>
      <c r="B364" s="15">
        <v>19900820</v>
      </c>
      <c r="C364" s="15">
        <v>20261231</v>
      </c>
      <c r="D364" s="15" t="s">
        <v>383</v>
      </c>
      <c r="E364" s="33">
        <f>37+56/60+15/3600</f>
        <v>37.9375</v>
      </c>
      <c r="F364" s="33">
        <f>58+22/60+48/3600</f>
        <v>58.38</v>
      </c>
      <c r="G364" s="25" t="s">
        <v>1866</v>
      </c>
      <c r="H364" s="19">
        <f>VLOOKUP( $A364, Sovereignty!$A$2:$L$510, 12, 0 )</f>
        <v>0</v>
      </c>
    </row>
    <row r="365" spans="1:8" x14ac:dyDescent="0.2">
      <c r="A365" s="15" t="s">
        <v>959</v>
      </c>
      <c r="B365" s="15">
        <v>19970101</v>
      </c>
      <c r="C365" s="15">
        <v>20261231</v>
      </c>
      <c r="D365" s="15" t="s">
        <v>292</v>
      </c>
      <c r="E365" s="33">
        <f>51+8/60</f>
        <v>51.133333333333333</v>
      </c>
      <c r="F365" s="33">
        <f>71+26/60</f>
        <v>71.433333333333337</v>
      </c>
      <c r="G365" s="25" t="s">
        <v>1867</v>
      </c>
      <c r="H365" s="19">
        <f>VLOOKUP( $A365, Sovereignty!$A$2:$L$510, 12, 0 )</f>
        <v>0</v>
      </c>
    </row>
    <row r="366" spans="1:8" x14ac:dyDescent="0.2">
      <c r="A366" s="15" t="s">
        <v>959</v>
      </c>
      <c r="B366" s="15">
        <v>19911216</v>
      </c>
      <c r="C366" s="15">
        <v>19970101</v>
      </c>
      <c r="D366" s="15" t="s">
        <v>1868</v>
      </c>
      <c r="E366" s="33">
        <f>43+14/60</f>
        <v>43.233333333333334</v>
      </c>
      <c r="F366" s="33">
        <f>76+57/60</f>
        <v>76.95</v>
      </c>
      <c r="G366" s="25" t="s">
        <v>1869</v>
      </c>
      <c r="H366" s="19">
        <f>VLOOKUP( $A366, Sovereignty!$A$2:$L$510, 12, 0 )</f>
        <v>0</v>
      </c>
    </row>
    <row r="367" spans="1:8" x14ac:dyDescent="0.2">
      <c r="A367" s="15" t="s">
        <v>946</v>
      </c>
      <c r="B367" s="15">
        <v>19911018</v>
      </c>
      <c r="C367" s="15">
        <v>20261231</v>
      </c>
      <c r="D367" s="15" t="s">
        <v>201</v>
      </c>
      <c r="E367" s="33">
        <f>40+22/60+32/3600</f>
        <v>40.375555555555557</v>
      </c>
      <c r="F367" s="33">
        <f>49+49/60+57/3600</f>
        <v>49.832500000000003</v>
      </c>
      <c r="G367" s="25" t="s">
        <v>1871</v>
      </c>
      <c r="H367" s="19">
        <f>VLOOKUP( $A367, Sovereignty!$A$2:$L$510, 12, 0 )</f>
        <v>0</v>
      </c>
    </row>
    <row r="368" spans="1:8" x14ac:dyDescent="0.2">
      <c r="A368" s="15" t="s">
        <v>941</v>
      </c>
      <c r="B368" s="15">
        <v>19910923</v>
      </c>
      <c r="C368" s="15">
        <v>20261231</v>
      </c>
      <c r="D368" s="15" t="s">
        <v>198</v>
      </c>
      <c r="E368" s="33">
        <f>40+10/60+53/3600</f>
        <v>40.18138888888889</v>
      </c>
      <c r="F368" s="33">
        <f>44+30/60+52/3600</f>
        <v>44.514444444444443</v>
      </c>
      <c r="G368" s="25" t="s">
        <v>1873</v>
      </c>
      <c r="H368" s="19">
        <f>VLOOKUP( $A368, Sovereignty!$A$2:$L$510, 12, 0 )</f>
        <v>0</v>
      </c>
    </row>
    <row r="369" spans="1:8" x14ac:dyDescent="0.2">
      <c r="A369" s="15" t="s">
        <v>944</v>
      </c>
      <c r="B369" s="15">
        <v>19910409</v>
      </c>
      <c r="C369" s="15">
        <v>20261231</v>
      </c>
      <c r="D369" s="15" t="s">
        <v>2392</v>
      </c>
      <c r="E369" s="33">
        <f>41+43/60+21/3600</f>
        <v>41.722500000000004</v>
      </c>
      <c r="F369" s="33">
        <f>44+47/60+33/3600</f>
        <v>44.792499999999997</v>
      </c>
      <c r="G369" s="25" t="s">
        <v>1875</v>
      </c>
      <c r="H369" s="19">
        <f>VLOOKUP( $A369, Sovereignty!$A$2:$L$510, 12, 0 )</f>
        <v>0</v>
      </c>
    </row>
    <row r="370" spans="1:8" x14ac:dyDescent="0.2">
      <c r="A370" s="15" t="s">
        <v>991</v>
      </c>
      <c r="B370" s="15">
        <v>19910824</v>
      </c>
      <c r="C370" s="15">
        <v>20261231</v>
      </c>
      <c r="D370" s="15" t="s">
        <v>386</v>
      </c>
      <c r="E370" s="33">
        <f>50+27/60</f>
        <v>50.45</v>
      </c>
      <c r="F370" s="33">
        <f>30+31/60+24/3600</f>
        <v>30.523333333333333</v>
      </c>
      <c r="G370" s="25" t="s">
        <v>1876</v>
      </c>
      <c r="H370" s="19">
        <f>VLOOKUP( $A370, Sovereignty!$A$2:$L$510, 12, 0 )</f>
        <v>0</v>
      </c>
    </row>
    <row r="371" spans="1:8" x14ac:dyDescent="0.2">
      <c r="A371" s="15" t="s">
        <v>987</v>
      </c>
      <c r="B371" s="15">
        <v>19911226</v>
      </c>
      <c r="C371" s="15">
        <v>20261231</v>
      </c>
      <c r="D371" s="15" t="s">
        <v>347</v>
      </c>
      <c r="E371" s="33">
        <f>55+45/60+21/3600</f>
        <v>55.755833333333335</v>
      </c>
      <c r="F371" s="33">
        <f>37+37/60+4/3600</f>
        <v>37.617777777777775</v>
      </c>
      <c r="G371" s="25" t="s">
        <v>1881</v>
      </c>
      <c r="H371" s="19">
        <f>VLOOKUP( $A371, Sovereignty!$A$2:$L$510, 12, 0 )</f>
        <v>0</v>
      </c>
    </row>
    <row r="372" spans="1:8" x14ac:dyDescent="0.2">
      <c r="A372" s="15" t="s">
        <v>1877</v>
      </c>
      <c r="B372" s="15">
        <v>19221230</v>
      </c>
      <c r="C372" s="15">
        <v>19911226</v>
      </c>
      <c r="D372" s="15" t="s">
        <v>347</v>
      </c>
      <c r="E372" s="33">
        <f t="shared" ref="E372:E373" si="48">55+45/60+21/3600</f>
        <v>55.755833333333335</v>
      </c>
      <c r="F372" s="33">
        <f t="shared" ref="F372:F373" si="49">37+37/60+4/3600</f>
        <v>37.617777777777775</v>
      </c>
      <c r="G372" s="25" t="s">
        <v>1881</v>
      </c>
      <c r="H372" s="19">
        <f>VLOOKUP( $A372, Sovereignty!$A$2:$L$510, 12, 0 )</f>
        <v>0</v>
      </c>
    </row>
    <row r="373" spans="1:8" x14ac:dyDescent="0.2">
      <c r="A373" s="15" t="s">
        <v>1885</v>
      </c>
      <c r="B373" s="15">
        <v>19180101</v>
      </c>
      <c r="C373" s="15">
        <v>19221230</v>
      </c>
      <c r="D373" s="15" t="s">
        <v>347</v>
      </c>
      <c r="E373" s="33">
        <f t="shared" si="48"/>
        <v>55.755833333333335</v>
      </c>
      <c r="F373" s="33">
        <f t="shared" si="49"/>
        <v>37.617777777777775</v>
      </c>
      <c r="G373" s="25" t="s">
        <v>1881</v>
      </c>
      <c r="H373" s="19">
        <f>VLOOKUP( $A373, Sovereignty!$A$2:$L$510, 12, 0 )</f>
        <v>0</v>
      </c>
    </row>
    <row r="374" spans="1:8" x14ac:dyDescent="0.2">
      <c r="A374" s="15" t="s">
        <v>1885</v>
      </c>
      <c r="B374" s="15">
        <v>19171107</v>
      </c>
      <c r="C374" s="15">
        <v>19180101</v>
      </c>
      <c r="D374" s="15" t="s">
        <v>1887</v>
      </c>
      <c r="E374" s="33">
        <f>59+56/60+15/3600</f>
        <v>59.9375</v>
      </c>
      <c r="F374" s="33">
        <f>30+18/60+31/3600</f>
        <v>30.308611111111112</v>
      </c>
      <c r="G374" s="25" t="s">
        <v>1883</v>
      </c>
      <c r="H374" s="19">
        <f>VLOOKUP( $A374, Sovereignty!$A$2:$L$510, 12, 0 )</f>
        <v>0</v>
      </c>
    </row>
    <row r="375" spans="1:8" x14ac:dyDescent="0.2">
      <c r="A375" s="15" t="s">
        <v>1878</v>
      </c>
      <c r="B375" s="15">
        <v>17210910</v>
      </c>
      <c r="C375" s="15">
        <v>19171107</v>
      </c>
      <c r="D375" s="15" t="s">
        <v>1882</v>
      </c>
      <c r="E375" s="33">
        <f>59+56/60+15/3600</f>
        <v>59.9375</v>
      </c>
      <c r="F375" s="33">
        <f>30+18/60+31/3600</f>
        <v>30.308611111111112</v>
      </c>
      <c r="G375" s="25" t="s">
        <v>1883</v>
      </c>
      <c r="H375" s="19">
        <f>VLOOKUP( $A375, Sovereignty!$A$2:$L$510, 12, 0 )</f>
        <v>0</v>
      </c>
    </row>
    <row r="376" spans="1:8" x14ac:dyDescent="0.2">
      <c r="A376" s="15" t="s">
        <v>974</v>
      </c>
      <c r="B376" s="15">
        <v>19910825</v>
      </c>
      <c r="C376" s="15">
        <v>20261231</v>
      </c>
      <c r="D376" s="15" t="s">
        <v>205</v>
      </c>
      <c r="E376" s="33">
        <f>53+54/60+2/3600</f>
        <v>53.900555555555556</v>
      </c>
      <c r="F376" s="33">
        <f>27+33/60+31/3600</f>
        <v>27.558611111111112</v>
      </c>
      <c r="G376" s="25" t="s">
        <v>1889</v>
      </c>
      <c r="H376" s="19">
        <f>VLOOKUP( $A376, Sovereignty!$A$2:$L$510, 12, 0 )</f>
        <v>0</v>
      </c>
    </row>
    <row r="377" spans="1:8" x14ac:dyDescent="0.2">
      <c r="A377" s="15" t="s">
        <v>970</v>
      </c>
      <c r="B377" s="15">
        <v>19910820</v>
      </c>
      <c r="C377" s="15">
        <v>20261231</v>
      </c>
      <c r="D377" s="15" t="s">
        <v>252</v>
      </c>
      <c r="E377" s="33">
        <f>59+25/60</f>
        <v>59.416666666666664</v>
      </c>
      <c r="F377" s="33">
        <f>24+45/60</f>
        <v>24.75</v>
      </c>
      <c r="G377" s="25" t="s">
        <v>1892</v>
      </c>
      <c r="H377" s="19">
        <f>VLOOKUP( $A377, Sovereignty!$A$2:$L$510, 12, 0 )</f>
        <v>0</v>
      </c>
    </row>
    <row r="378" spans="1:8" x14ac:dyDescent="0.2">
      <c r="A378" s="15" t="s">
        <v>1891</v>
      </c>
      <c r="B378" s="15">
        <v>19180224</v>
      </c>
      <c r="C378" s="15">
        <v>19400617</v>
      </c>
      <c r="D378" s="15" t="s">
        <v>252</v>
      </c>
      <c r="E378" s="33">
        <f>59+25/60</f>
        <v>59.416666666666664</v>
      </c>
      <c r="F378" s="33">
        <f>24+45/60</f>
        <v>24.75</v>
      </c>
      <c r="G378" s="25" t="s">
        <v>1892</v>
      </c>
      <c r="H378" s="19">
        <f>VLOOKUP( $A378, Sovereignty!$A$2:$L$510, 12, 0 )</f>
        <v>0</v>
      </c>
    </row>
    <row r="379" spans="1:8" x14ac:dyDescent="0.2">
      <c r="A379" s="15" t="s">
        <v>971</v>
      </c>
      <c r="B379" s="15">
        <v>19910821</v>
      </c>
      <c r="C379" s="15">
        <v>20261231</v>
      </c>
      <c r="D379" s="15" t="s">
        <v>300</v>
      </c>
      <c r="E379" s="33">
        <f>56+56/60+56/3600</f>
        <v>56.948888888888888</v>
      </c>
      <c r="F379" s="33">
        <f>24+6/60+23/3600</f>
        <v>24.10638888888889</v>
      </c>
      <c r="G379" s="25" t="s">
        <v>1898</v>
      </c>
      <c r="H379" s="19">
        <f>VLOOKUP( $A379, Sovereignty!$A$2:$L$510, 12, 0 )</f>
        <v>0</v>
      </c>
    </row>
    <row r="380" spans="1:8" x14ac:dyDescent="0.2">
      <c r="A380" s="15" t="s">
        <v>1894</v>
      </c>
      <c r="B380" s="15">
        <v>19181118</v>
      </c>
      <c r="C380" s="15">
        <v>19400617</v>
      </c>
      <c r="D380" s="15" t="s">
        <v>300</v>
      </c>
      <c r="E380" s="33">
        <f>56+56/60+56/3600</f>
        <v>56.948888888888888</v>
      </c>
      <c r="F380" s="33">
        <f>24+6/60+23/3600</f>
        <v>24.10638888888889</v>
      </c>
      <c r="G380" s="25" t="s">
        <v>1898</v>
      </c>
      <c r="H380" s="19">
        <f>VLOOKUP( $A380, Sovereignty!$A$2:$L$510, 12, 0 )</f>
        <v>0</v>
      </c>
    </row>
    <row r="381" spans="1:8" x14ac:dyDescent="0.2">
      <c r="A381" s="15" t="s">
        <v>1895</v>
      </c>
      <c r="B381" s="15">
        <v>19180216</v>
      </c>
      <c r="C381" s="15">
        <v>19400617</v>
      </c>
      <c r="D381" s="15" t="s">
        <v>306</v>
      </c>
      <c r="E381" s="33">
        <f>54+41/60+16/3600</f>
        <v>54.687777777777775</v>
      </c>
      <c r="F381" s="33">
        <f>25+16/60+48/3600</f>
        <v>25.279999999999998</v>
      </c>
      <c r="G381" s="25" t="s">
        <v>1900</v>
      </c>
      <c r="H381" s="19">
        <f>VLOOKUP( $A381, Sovereignty!$A$2:$L$510, 12, 0 )</f>
        <v>0</v>
      </c>
    </row>
    <row r="382" spans="1:8" x14ac:dyDescent="0.2">
      <c r="A382" s="15" t="s">
        <v>975</v>
      </c>
      <c r="B382" s="15">
        <v>19900311</v>
      </c>
      <c r="C382" s="15">
        <v>20261231</v>
      </c>
      <c r="D382" s="15" t="s">
        <v>306</v>
      </c>
      <c r="E382" s="33">
        <f>54+41/60+16/3600</f>
        <v>54.687777777777775</v>
      </c>
      <c r="F382" s="33">
        <f>25+16/60+48/3600</f>
        <v>25.279999999999998</v>
      </c>
      <c r="G382" s="25" t="s">
        <v>1900</v>
      </c>
      <c r="H382" s="19">
        <f>VLOOKUP( $A382, Sovereignty!$A$2:$L$510, 12, 0 )</f>
        <v>0</v>
      </c>
    </row>
    <row r="383" spans="1:8" x14ac:dyDescent="0.2">
      <c r="A383" s="15" t="s">
        <v>2370</v>
      </c>
      <c r="B383" s="15">
        <v>19440722</v>
      </c>
      <c r="C383" s="15">
        <v>20261231</v>
      </c>
      <c r="D383" s="15" t="s">
        <v>342</v>
      </c>
      <c r="E383" s="33">
        <f>52+13/60+48/3600</f>
        <v>52.230000000000004</v>
      </c>
      <c r="F383" s="33">
        <f>21+40/3600</f>
        <v>21.011111111111113</v>
      </c>
      <c r="G383" s="25" t="s">
        <v>1902</v>
      </c>
      <c r="H383" s="19">
        <f>VLOOKUP( $A383, Sovereignty!$A$2:$L$510, 12, 0 )</f>
        <v>0</v>
      </c>
    </row>
    <row r="384" spans="1:8" x14ac:dyDescent="0.2">
      <c r="A384" s="15" t="s">
        <v>1904</v>
      </c>
      <c r="B384" s="15">
        <v>19181111</v>
      </c>
      <c r="C384" s="15">
        <v>19390917</v>
      </c>
      <c r="D384" s="15" t="s">
        <v>342</v>
      </c>
      <c r="E384" s="33">
        <f>52+13/60+48/3600</f>
        <v>52.230000000000004</v>
      </c>
      <c r="F384" s="33">
        <f>21+40/3600</f>
        <v>21.011111111111113</v>
      </c>
      <c r="G384" s="25" t="s">
        <v>1902</v>
      </c>
      <c r="H384" s="19">
        <f>VLOOKUP( $A384, Sovereignty!$A$2:$L$510, 12, 0 )</f>
        <v>0</v>
      </c>
    </row>
    <row r="385" spans="1:8" x14ac:dyDescent="0.2">
      <c r="A385" s="15" t="s">
        <v>983</v>
      </c>
      <c r="B385" s="15">
        <v>19930101</v>
      </c>
      <c r="C385" s="15">
        <v>20261231</v>
      </c>
      <c r="D385" s="15" t="s">
        <v>240</v>
      </c>
      <c r="E385" s="33">
        <f>50+5/60+15/3600</f>
        <v>50.087500000000006</v>
      </c>
      <c r="F385" s="33">
        <f>14+25/60+17/3600</f>
        <v>14.421388888888888</v>
      </c>
      <c r="G385" s="25" t="s">
        <v>1910</v>
      </c>
      <c r="H385" s="19">
        <f>VLOOKUP( $A385, Sovereignty!$A$2:$L$510, 12, 0 )</f>
        <v>0</v>
      </c>
    </row>
    <row r="386" spans="1:8" x14ac:dyDescent="0.2">
      <c r="A386" s="15" t="s">
        <v>1906</v>
      </c>
      <c r="B386" s="15">
        <v>19181018</v>
      </c>
      <c r="C386" s="15">
        <v>19380930</v>
      </c>
      <c r="D386" s="15" t="s">
        <v>240</v>
      </c>
      <c r="E386" s="33">
        <f t="shared" ref="E386:E387" si="50">50+5/60+15/3600</f>
        <v>50.087500000000006</v>
      </c>
      <c r="F386" s="33">
        <f t="shared" ref="F386:F387" si="51">14+25/60+17/3600</f>
        <v>14.421388888888888</v>
      </c>
      <c r="G386" s="25" t="s">
        <v>1910</v>
      </c>
      <c r="H386" s="19">
        <f>VLOOKUP( $A386, Sovereignty!$A$2:$L$510, 12, 0 )</f>
        <v>0</v>
      </c>
    </row>
    <row r="387" spans="1:8" x14ac:dyDescent="0.2">
      <c r="A387" s="15" t="s">
        <v>1908</v>
      </c>
      <c r="B387" s="15">
        <v>19450508</v>
      </c>
      <c r="C387" s="15">
        <v>19930101</v>
      </c>
      <c r="D387" s="15" t="s">
        <v>240</v>
      </c>
      <c r="E387" s="33">
        <f t="shared" si="50"/>
        <v>50.087500000000006</v>
      </c>
      <c r="F387" s="33">
        <f t="shared" si="51"/>
        <v>14.421388888888888</v>
      </c>
      <c r="G387" s="25" t="s">
        <v>1910</v>
      </c>
      <c r="H387" s="19">
        <f>VLOOKUP( $A387, Sovereignty!$A$2:$L$510, 12, 0 )</f>
        <v>0</v>
      </c>
    </row>
    <row r="388" spans="1:8" x14ac:dyDescent="0.2">
      <c r="A388" s="15" t="s">
        <v>988</v>
      </c>
      <c r="B388" s="15">
        <v>19930101</v>
      </c>
      <c r="C388" s="15">
        <v>20261231</v>
      </c>
      <c r="D388" s="15" t="s">
        <v>358</v>
      </c>
      <c r="E388" s="33">
        <f>48+8/60+38/3600</f>
        <v>48.143888888888888</v>
      </c>
      <c r="F388" s="33">
        <f>17+6/60+35/3600</f>
        <v>17.109722222222224</v>
      </c>
      <c r="G388" s="25" t="s">
        <v>1912</v>
      </c>
      <c r="H388" s="19">
        <f>VLOOKUP( $A388, Sovereignty!$A$2:$L$510, 12, 0 )</f>
        <v>0</v>
      </c>
    </row>
    <row r="389" spans="1:8" x14ac:dyDescent="0.2">
      <c r="A389" s="15" t="s">
        <v>1913</v>
      </c>
      <c r="B389" s="15">
        <v>19181031</v>
      </c>
      <c r="C389" s="15">
        <v>20261231</v>
      </c>
      <c r="D389" s="15" t="s">
        <v>275</v>
      </c>
      <c r="E389" s="33">
        <f>47+26/60</f>
        <v>47.43333333333333</v>
      </c>
      <c r="F389" s="33">
        <f>19+15/60</f>
        <v>19.25</v>
      </c>
      <c r="G389" s="25" t="s">
        <v>1914</v>
      </c>
      <c r="H389" s="19">
        <f>VLOOKUP( $A389, Sovereignty!$A$2:$L$510, 12, 0 )</f>
        <v>0</v>
      </c>
    </row>
    <row r="390" spans="1:8" x14ac:dyDescent="0.2">
      <c r="A390" s="15" t="s">
        <v>985</v>
      </c>
      <c r="B390" s="15">
        <v>18770509</v>
      </c>
      <c r="C390" s="15">
        <v>20261231</v>
      </c>
      <c r="D390" s="15" t="s">
        <v>346</v>
      </c>
      <c r="E390" s="33">
        <f>44+25/60</f>
        <v>44.416666666666664</v>
      </c>
      <c r="F390" s="33">
        <f>26+6/60</f>
        <v>26.1</v>
      </c>
      <c r="G390" s="25" t="s">
        <v>1915</v>
      </c>
      <c r="H390" s="19">
        <f>VLOOKUP( $A390, Sovereignty!$A$2:$L$510, 12, 0 )</f>
        <v>0</v>
      </c>
    </row>
    <row r="391" spans="1:8" x14ac:dyDescent="0.2">
      <c r="A391" s="15" t="s">
        <v>1917</v>
      </c>
      <c r="B391" s="15">
        <v>18590124</v>
      </c>
      <c r="C391" s="15">
        <v>18770509</v>
      </c>
      <c r="D391" s="15" t="s">
        <v>346</v>
      </c>
      <c r="E391" s="33">
        <f>44+25/60</f>
        <v>44.416666666666664</v>
      </c>
      <c r="F391" s="33">
        <f>26+6/60</f>
        <v>26.1</v>
      </c>
      <c r="G391" s="25" t="s">
        <v>1915</v>
      </c>
      <c r="H391" s="19">
        <f>VLOOKUP( $A391, Sovereignty!$A$2:$L$510, 12, 0 )</f>
        <v>0</v>
      </c>
    </row>
    <row r="392" spans="1:8" x14ac:dyDescent="0.2">
      <c r="A392" s="15" t="s">
        <v>972</v>
      </c>
      <c r="B392" s="15">
        <v>19910827</v>
      </c>
      <c r="C392" s="15">
        <v>20261231</v>
      </c>
      <c r="D392" s="15" t="s">
        <v>317</v>
      </c>
      <c r="E392" s="33">
        <f>47</f>
        <v>47</v>
      </c>
      <c r="F392" s="33">
        <f>28+55/60</f>
        <v>28.916666666666668</v>
      </c>
      <c r="G392" s="25" t="s">
        <v>1922</v>
      </c>
      <c r="H392" s="19">
        <f>VLOOKUP( $A392, Sovereignty!$A$2:$L$510, 12, 0 )</f>
        <v>0</v>
      </c>
    </row>
    <row r="393" spans="1:8" x14ac:dyDescent="0.2">
      <c r="A393" s="15" t="s">
        <v>976</v>
      </c>
      <c r="B393" s="15">
        <v>19081005</v>
      </c>
      <c r="C393" s="15">
        <v>20261231</v>
      </c>
      <c r="D393" s="15" t="s">
        <v>218</v>
      </c>
      <c r="E393" s="33">
        <f>42+42/60</f>
        <v>42.7</v>
      </c>
      <c r="F393" s="33">
        <f>23+20/60</f>
        <v>23.333333333333332</v>
      </c>
      <c r="G393" s="25" t="s">
        <v>1926</v>
      </c>
      <c r="H393" s="19">
        <f>VLOOKUP( $A393, Sovereignty!$A$2:$L$510, 12, 0 )</f>
        <v>0</v>
      </c>
    </row>
    <row r="394" spans="1:8" x14ac:dyDescent="0.2">
      <c r="A394" s="15" t="s">
        <v>1924</v>
      </c>
      <c r="B394" s="15">
        <v>18780303</v>
      </c>
      <c r="C394" s="15">
        <v>19081005</v>
      </c>
      <c r="D394" s="15" t="s">
        <v>218</v>
      </c>
      <c r="E394" s="33">
        <f>42+42/60</f>
        <v>42.7</v>
      </c>
      <c r="F394" s="33">
        <f>23+20/60</f>
        <v>23.333333333333332</v>
      </c>
      <c r="G394" s="25" t="s">
        <v>1926</v>
      </c>
      <c r="H394" s="19">
        <f>VLOOKUP( $A394, Sovereignty!$A$2:$L$510, 12, 0 )</f>
        <v>0</v>
      </c>
    </row>
    <row r="395" spans="1:8" x14ac:dyDescent="0.2">
      <c r="A395" s="15" t="s">
        <v>1930</v>
      </c>
      <c r="B395" s="15">
        <v>19441012</v>
      </c>
      <c r="C395" s="15">
        <v>20261231</v>
      </c>
      <c r="D395" s="15" t="s">
        <v>263</v>
      </c>
      <c r="E395" s="33">
        <f>37+58/60</f>
        <v>37.966666666666669</v>
      </c>
      <c r="F395" s="33">
        <f>23+43/60</f>
        <v>23.716666666666665</v>
      </c>
      <c r="G395" s="25" t="s">
        <v>1929</v>
      </c>
      <c r="H395" s="19">
        <f>VLOOKUP( $A395, Sovereignty!$A$2:$L$510, 12, 0 )</f>
        <v>0</v>
      </c>
    </row>
    <row r="396" spans="1:8" x14ac:dyDescent="0.2">
      <c r="A396" s="15" t="s">
        <v>992</v>
      </c>
      <c r="B396" s="15">
        <v>18220101</v>
      </c>
      <c r="C396" s="15">
        <v>19410406</v>
      </c>
      <c r="D396" s="15" t="s">
        <v>263</v>
      </c>
      <c r="E396" s="33">
        <f>37+58/60</f>
        <v>37.966666666666669</v>
      </c>
      <c r="F396" s="33">
        <f>23+43/60</f>
        <v>23.716666666666665</v>
      </c>
      <c r="G396" s="25" t="s">
        <v>1929</v>
      </c>
      <c r="H396" s="19">
        <f>VLOOKUP( $A396, Sovereignty!$A$2:$L$510, 12, 0 )</f>
        <v>0</v>
      </c>
    </row>
    <row r="397" spans="1:8" x14ac:dyDescent="0.2">
      <c r="A397" s="15" t="s">
        <v>1931</v>
      </c>
      <c r="B397" s="15">
        <v>19441129</v>
      </c>
      <c r="C397" s="15">
        <v>20261231</v>
      </c>
      <c r="D397" s="15" t="s">
        <v>190</v>
      </c>
      <c r="E397" s="33">
        <f>41+19/60+42/3600</f>
        <v>41.328333333333333</v>
      </c>
      <c r="F397" s="33">
        <f>19+49/60+5/3600</f>
        <v>19.818055555555556</v>
      </c>
      <c r="G397" s="25" t="s">
        <v>1932</v>
      </c>
      <c r="H397" s="19">
        <f>VLOOKUP( $A397, Sovereignty!$A$2:$L$510, 12, 0 )</f>
        <v>0</v>
      </c>
    </row>
    <row r="398" spans="1:8" x14ac:dyDescent="0.2">
      <c r="A398" s="15" t="s">
        <v>978</v>
      </c>
      <c r="B398" s="15">
        <v>19121128</v>
      </c>
      <c r="C398" s="15">
        <v>19390407</v>
      </c>
      <c r="D398" s="15" t="s">
        <v>190</v>
      </c>
      <c r="E398" s="33">
        <f>41+19/60+42/3600</f>
        <v>41.328333333333333</v>
      </c>
      <c r="F398" s="33">
        <f>19+49/60+5/3600</f>
        <v>19.818055555555556</v>
      </c>
      <c r="G398" s="25" t="s">
        <v>1932</v>
      </c>
      <c r="H398" s="19">
        <f>VLOOKUP( $A398, Sovereignty!$A$2:$L$510, 12, 0 )</f>
        <v>0</v>
      </c>
    </row>
    <row r="399" spans="1:8" x14ac:dyDescent="0.2">
      <c r="A399" s="15" t="s">
        <v>973</v>
      </c>
      <c r="B399" s="15">
        <v>19910908</v>
      </c>
      <c r="C399" s="15">
        <v>20261231</v>
      </c>
      <c r="D399" s="15" t="s">
        <v>332</v>
      </c>
      <c r="E399" s="33">
        <f>42</f>
        <v>42</v>
      </c>
      <c r="F399" s="33">
        <f>21+26/60</f>
        <v>21.433333333333334</v>
      </c>
      <c r="G399" s="25" t="s">
        <v>1934</v>
      </c>
      <c r="H399" s="19">
        <f>VLOOKUP( $A399, Sovereignty!$A$2:$L$510, 12, 0 )</f>
        <v>0</v>
      </c>
    </row>
    <row r="400" spans="1:8" x14ac:dyDescent="0.2">
      <c r="A400" s="15" t="s">
        <v>2371</v>
      </c>
      <c r="B400" s="15">
        <v>20060605</v>
      </c>
      <c r="C400" s="15">
        <v>20261231</v>
      </c>
      <c r="D400" s="15" t="s">
        <v>356</v>
      </c>
      <c r="E400" s="33">
        <f>44+49/60+4/3600</f>
        <v>44.817777777777778</v>
      </c>
      <c r="F400" s="33">
        <f>20+27/60+25/3600</f>
        <v>20.456944444444442</v>
      </c>
      <c r="G400" s="25" t="s">
        <v>1941</v>
      </c>
      <c r="H400" s="19">
        <f>VLOOKUP( $A400, Sovereignty!$A$2:$L$510, 12, 0 )</f>
        <v>0</v>
      </c>
    </row>
    <row r="401" spans="1:8" x14ac:dyDescent="0.2">
      <c r="A401" s="15" t="s">
        <v>1937</v>
      </c>
      <c r="B401" s="15">
        <v>19181201</v>
      </c>
      <c r="C401" s="15">
        <v>19920427</v>
      </c>
      <c r="D401" s="15" t="s">
        <v>356</v>
      </c>
      <c r="E401" s="33">
        <f t="shared" ref="E401:E403" si="52">44+49/60+4/3600</f>
        <v>44.817777777777778</v>
      </c>
      <c r="F401" s="33">
        <f t="shared" ref="F401:F403" si="53">20+27/60+25/3600</f>
        <v>20.456944444444442</v>
      </c>
      <c r="G401" s="25" t="s">
        <v>1941</v>
      </c>
      <c r="H401" s="19">
        <f>VLOOKUP( $A401, Sovereignty!$A$2:$L$510, 12, 0 )</f>
        <v>0</v>
      </c>
    </row>
    <row r="402" spans="1:8" x14ac:dyDescent="0.2">
      <c r="A402" s="15" t="s">
        <v>1938</v>
      </c>
      <c r="B402" s="15">
        <v>18820306</v>
      </c>
      <c r="C402" s="15">
        <v>19181201</v>
      </c>
      <c r="D402" s="15" t="s">
        <v>356</v>
      </c>
      <c r="E402" s="33">
        <f t="shared" si="52"/>
        <v>44.817777777777778</v>
      </c>
      <c r="F402" s="33">
        <f t="shared" si="53"/>
        <v>20.456944444444442</v>
      </c>
      <c r="G402" s="25" t="s">
        <v>1941</v>
      </c>
      <c r="H402" s="19">
        <f>VLOOKUP( $A402, Sovereignty!$A$2:$L$510, 12, 0 )</f>
        <v>0</v>
      </c>
    </row>
    <row r="403" spans="1:8" x14ac:dyDescent="0.2">
      <c r="A403" s="15" t="s">
        <v>1939</v>
      </c>
      <c r="B403" s="15">
        <v>18410101</v>
      </c>
      <c r="C403" s="15">
        <v>18820306</v>
      </c>
      <c r="D403" s="15" t="s">
        <v>356</v>
      </c>
      <c r="E403" s="33">
        <f t="shared" si="52"/>
        <v>44.817777777777778</v>
      </c>
      <c r="F403" s="33">
        <f t="shared" si="53"/>
        <v>20.456944444444442</v>
      </c>
      <c r="G403" s="25" t="s">
        <v>1941</v>
      </c>
      <c r="H403" s="19">
        <f>VLOOKUP( $A403, Sovereignty!$A$2:$L$510, 12, 0 )</f>
        <v>0</v>
      </c>
    </row>
    <row r="404" spans="1:8" x14ac:dyDescent="0.2">
      <c r="A404" s="15" t="s">
        <v>1939</v>
      </c>
      <c r="B404" s="15">
        <v>18180101</v>
      </c>
      <c r="C404" s="15">
        <v>18410101</v>
      </c>
      <c r="D404" s="15" t="s">
        <v>1944</v>
      </c>
      <c r="E404" s="33">
        <f>44+36.3/3600</f>
        <v>44.010083333333334</v>
      </c>
      <c r="F404" s="33">
        <f>20+55/60+1.9/3600</f>
        <v>20.917194444444444</v>
      </c>
      <c r="G404" s="25" t="s">
        <v>1945</v>
      </c>
      <c r="H404" s="19">
        <f>VLOOKUP( $A404, Sovereignty!$A$2:$L$510, 12, 0 )</f>
        <v>0</v>
      </c>
    </row>
    <row r="405" spans="1:8" x14ac:dyDescent="0.2">
      <c r="A405" s="15" t="s">
        <v>1939</v>
      </c>
      <c r="B405" s="15">
        <v>18150101</v>
      </c>
      <c r="C405" s="15">
        <v>18180101</v>
      </c>
      <c r="D405" s="15" t="s">
        <v>1942</v>
      </c>
      <c r="E405" s="33">
        <f>44+4/60</f>
        <v>44.06666666666667</v>
      </c>
      <c r="F405" s="33">
        <f>20+35/60</f>
        <v>20.583333333333332</v>
      </c>
      <c r="G405" s="25" t="s">
        <v>1943</v>
      </c>
      <c r="H405" s="19">
        <f>VLOOKUP( $A405, Sovereignty!$A$2:$L$510, 12, 0 )</f>
        <v>0</v>
      </c>
    </row>
    <row r="406" spans="1:8" x14ac:dyDescent="0.2">
      <c r="A406" s="15" t="s">
        <v>980</v>
      </c>
      <c r="B406" s="15">
        <v>20080217</v>
      </c>
      <c r="C406" s="15">
        <v>20261231</v>
      </c>
      <c r="D406" s="15" t="s">
        <v>296</v>
      </c>
      <c r="E406" s="33">
        <f>42+40/60</f>
        <v>42.666666666666664</v>
      </c>
      <c r="F406" s="33">
        <f>21+10/60</f>
        <v>21.166666666666668</v>
      </c>
      <c r="G406" s="25" t="s">
        <v>1952</v>
      </c>
      <c r="H406" s="19">
        <f>VLOOKUP( $A406, Sovereignty!$A$2:$L$510, 12, 0 )</f>
        <v>0</v>
      </c>
    </row>
    <row r="407" spans="1:8" x14ac:dyDescent="0.2">
      <c r="A407" s="15" t="s">
        <v>1948</v>
      </c>
      <c r="B407" s="15">
        <v>19920427</v>
      </c>
      <c r="C407" s="15">
        <v>20060605</v>
      </c>
      <c r="D407" s="15" t="s">
        <v>356</v>
      </c>
      <c r="E407" s="33">
        <f t="shared" ref="E407" si="54">44+49/60+4/3600</f>
        <v>44.817777777777778</v>
      </c>
      <c r="F407" s="33">
        <f t="shared" ref="F407" si="55">20+27/60+25/3600</f>
        <v>20.456944444444442</v>
      </c>
      <c r="G407" s="25" t="s">
        <v>1941</v>
      </c>
      <c r="H407" s="19">
        <f>VLOOKUP( $A407, Sovereignty!$A$2:$L$510, 12, 0 )</f>
        <v>0</v>
      </c>
    </row>
    <row r="408" spans="1:8" x14ac:dyDescent="0.2">
      <c r="A408" s="15" t="s">
        <v>2372</v>
      </c>
      <c r="B408" s="15">
        <v>20060603</v>
      </c>
      <c r="C408" s="15">
        <v>20261231</v>
      </c>
      <c r="D408" s="15" t="s">
        <v>319</v>
      </c>
      <c r="E408" s="33">
        <f>42+26/60+29/3600</f>
        <v>42.441388888888888</v>
      </c>
      <c r="F408" s="33">
        <f>19+15/60+46/3600</f>
        <v>19.262777777777778</v>
      </c>
      <c r="G408" s="25" t="s">
        <v>1954</v>
      </c>
      <c r="H408" s="19">
        <f>VLOOKUP( $A408, Sovereignty!$A$2:$L$510, 12, 0 )</f>
        <v>0</v>
      </c>
    </row>
    <row r="409" spans="1:8" x14ac:dyDescent="0.2">
      <c r="A409" s="15" t="s">
        <v>989</v>
      </c>
      <c r="B409" s="15">
        <v>19920303</v>
      </c>
      <c r="C409" s="15">
        <v>20261231</v>
      </c>
      <c r="D409" s="15" t="s">
        <v>214</v>
      </c>
      <c r="E409" s="33">
        <f>43+52/60</f>
        <v>43.866666666666667</v>
      </c>
      <c r="F409" s="33">
        <f>18+25/60</f>
        <v>18.416666666666668</v>
      </c>
      <c r="G409" s="25" t="s">
        <v>1955</v>
      </c>
      <c r="H409" s="19">
        <f>VLOOKUP( $A409, Sovereignty!$A$2:$L$510, 12, 0 )</f>
        <v>0</v>
      </c>
    </row>
    <row r="410" spans="1:8" x14ac:dyDescent="0.2">
      <c r="A410" s="15" t="s">
        <v>977</v>
      </c>
      <c r="B410" s="15">
        <v>19910625</v>
      </c>
      <c r="C410" s="15">
        <v>20261231</v>
      </c>
      <c r="D410" s="15" t="s">
        <v>236</v>
      </c>
      <c r="E410" s="33">
        <f>45+48/60+47/3600</f>
        <v>45.81305555555555</v>
      </c>
      <c r="F410" s="33">
        <f>15+58/60+39/3600</f>
        <v>15.977500000000001</v>
      </c>
      <c r="G410" s="25" t="s">
        <v>1957</v>
      </c>
      <c r="H410" s="19">
        <f>VLOOKUP( $A410, Sovereignty!$A$2:$L$510, 12, 0 )</f>
        <v>0</v>
      </c>
    </row>
    <row r="411" spans="1:8" x14ac:dyDescent="0.2">
      <c r="A411" s="15" t="s">
        <v>981</v>
      </c>
      <c r="B411" s="15">
        <v>19910625</v>
      </c>
      <c r="C411" s="15">
        <v>20261231</v>
      </c>
      <c r="D411" s="15" t="s">
        <v>359</v>
      </c>
      <c r="E411" s="33">
        <f>46+3/60+5/3600</f>
        <v>46.051388888888887</v>
      </c>
      <c r="F411" s="33">
        <f>14+30/60+22/3600</f>
        <v>14.50611111111111</v>
      </c>
      <c r="G411" s="25" t="s">
        <v>1958</v>
      </c>
      <c r="H411" s="19">
        <f>VLOOKUP( $A411, Sovereignty!$A$2:$L$510, 12, 0 )</f>
        <v>0</v>
      </c>
    </row>
    <row r="412" spans="1:8" x14ac:dyDescent="0.2">
      <c r="A412" s="15" t="s">
        <v>2373</v>
      </c>
      <c r="B412" s="15">
        <v>19450427</v>
      </c>
      <c r="C412" s="15">
        <v>20261231</v>
      </c>
      <c r="D412" s="15" t="s">
        <v>200</v>
      </c>
      <c r="E412" s="33">
        <f>48+12/60+30/3600</f>
        <v>48.208333333333336</v>
      </c>
      <c r="F412" s="33">
        <f>16+22/60+21/3600</f>
        <v>16.372499999999999</v>
      </c>
      <c r="G412" s="25" t="s">
        <v>1964</v>
      </c>
      <c r="H412" s="19">
        <f>VLOOKUP( $A412, Sovereignty!$A$2:$L$510, 12, 0 )</f>
        <v>0</v>
      </c>
    </row>
    <row r="413" spans="1:8" x14ac:dyDescent="0.2">
      <c r="A413" s="15" t="s">
        <v>1962</v>
      </c>
      <c r="B413" s="15">
        <v>19190912</v>
      </c>
      <c r="C413" s="15">
        <v>19380313</v>
      </c>
      <c r="D413" s="15" t="s">
        <v>200</v>
      </c>
      <c r="E413" s="33">
        <f t="shared" ref="E413:E415" si="56">48+12/60+30/3600</f>
        <v>48.208333333333336</v>
      </c>
      <c r="F413" s="33">
        <f t="shared" ref="F413:F415" si="57">16+22/60+21/3600</f>
        <v>16.372499999999999</v>
      </c>
      <c r="G413" s="25" t="s">
        <v>1964</v>
      </c>
      <c r="H413" s="19">
        <f>VLOOKUP( $A413, Sovereignty!$A$2:$L$510, 12, 0 )</f>
        <v>0</v>
      </c>
    </row>
    <row r="414" spans="1:8" x14ac:dyDescent="0.2">
      <c r="A414" s="15" t="s">
        <v>1960</v>
      </c>
      <c r="B414" s="15">
        <v>18670330</v>
      </c>
      <c r="C414" s="15">
        <v>19190912</v>
      </c>
      <c r="D414" s="15" t="s">
        <v>200</v>
      </c>
      <c r="E414" s="33">
        <f t="shared" si="56"/>
        <v>48.208333333333336</v>
      </c>
      <c r="F414" s="33">
        <f t="shared" si="57"/>
        <v>16.372499999999999</v>
      </c>
      <c r="G414" s="25" t="s">
        <v>1964</v>
      </c>
      <c r="H414" s="19">
        <f>VLOOKUP( $A414, Sovereignty!$A$2:$L$510, 12, 0 )</f>
        <v>0</v>
      </c>
    </row>
    <row r="415" spans="1:8" x14ac:dyDescent="0.2">
      <c r="A415" s="15" t="s">
        <v>1963</v>
      </c>
      <c r="B415" s="15">
        <v>18040811</v>
      </c>
      <c r="C415" s="15">
        <v>18670330</v>
      </c>
      <c r="D415" s="15" t="s">
        <v>200</v>
      </c>
      <c r="E415" s="33">
        <f t="shared" si="56"/>
        <v>48.208333333333336</v>
      </c>
      <c r="F415" s="33">
        <f t="shared" si="57"/>
        <v>16.372499999999999</v>
      </c>
      <c r="G415" s="25" t="s">
        <v>1964</v>
      </c>
      <c r="H415" s="19">
        <f>VLOOKUP( $A415, Sovereignty!$A$2:$L$510, 12, 0 )</f>
        <v>0</v>
      </c>
    </row>
    <row r="416" spans="1:8" x14ac:dyDescent="0.2">
      <c r="A416" s="15" t="s">
        <v>1970</v>
      </c>
      <c r="B416" s="15">
        <v>18060823</v>
      </c>
      <c r="C416" s="15">
        <v>20261231</v>
      </c>
      <c r="D416" s="15" t="s">
        <v>305</v>
      </c>
      <c r="E416" s="33">
        <f>47+10/60</f>
        <v>47.166666666666664</v>
      </c>
      <c r="F416" s="33">
        <f>9+30/60+35/3600</f>
        <v>9.5097222222222229</v>
      </c>
      <c r="G416" s="25" t="s">
        <v>1971</v>
      </c>
      <c r="H416" s="19">
        <f>VLOOKUP( $A416, Sovereignty!$A$2:$L$510, 12, 0 )</f>
        <v>0</v>
      </c>
    </row>
    <row r="417" spans="1:8" x14ac:dyDescent="0.2">
      <c r="A417" s="15" t="s">
        <v>998</v>
      </c>
      <c r="B417" s="15">
        <v>16481024</v>
      </c>
      <c r="C417" s="15">
        <v>20261231</v>
      </c>
      <c r="D417" s="15" t="s">
        <v>370</v>
      </c>
      <c r="E417" s="33">
        <f>46+56/60+53/3600</f>
        <v>46.948055555555555</v>
      </c>
      <c r="F417" s="33">
        <f>7+26/60+51/3600</f>
        <v>7.4475000000000007</v>
      </c>
      <c r="G417" s="25" t="s">
        <v>1973</v>
      </c>
      <c r="H417" s="19">
        <f>VLOOKUP( $A417, Sovereignty!$A$2:$L$510, 12, 0 )</f>
        <v>0</v>
      </c>
    </row>
    <row r="418" spans="1:8" x14ac:dyDescent="0.2">
      <c r="A418" s="15" t="s">
        <v>993</v>
      </c>
      <c r="B418" s="15">
        <v>18610317</v>
      </c>
      <c r="C418" s="15">
        <v>20261231</v>
      </c>
      <c r="D418" s="15" t="s">
        <v>288</v>
      </c>
      <c r="E418" s="33">
        <f>41+53/60+36/3600</f>
        <v>41.893333333333331</v>
      </c>
      <c r="F418" s="33">
        <f>12+28/60+58/3600</f>
        <v>12.482777777777779</v>
      </c>
      <c r="G418" s="25" t="s">
        <v>1977</v>
      </c>
      <c r="H418" s="19">
        <f>VLOOKUP( $A418, Sovereignty!$A$2:$L$510, 12, 0 )</f>
        <v>0</v>
      </c>
    </row>
    <row r="419" spans="1:8" x14ac:dyDescent="0.2">
      <c r="A419" s="15" t="s">
        <v>1975</v>
      </c>
      <c r="B419" s="15">
        <v>18150101</v>
      </c>
      <c r="C419" s="15">
        <v>18610317</v>
      </c>
      <c r="D419" s="15" t="s">
        <v>288</v>
      </c>
      <c r="E419" s="33">
        <f>41+53/60+36/3600</f>
        <v>41.893333333333331</v>
      </c>
      <c r="F419" s="33">
        <f>12+28/60+58/3600</f>
        <v>12.482777777777779</v>
      </c>
      <c r="G419" s="25" t="s">
        <v>1977</v>
      </c>
      <c r="H419" s="19">
        <f>VLOOKUP( $A419, Sovereignty!$A$2:$L$510, 12, 0 )</f>
        <v>0</v>
      </c>
    </row>
    <row r="420" spans="1:8" x14ac:dyDescent="0.2">
      <c r="A420" s="15" t="s">
        <v>1980</v>
      </c>
      <c r="B420" s="15">
        <v>18470101</v>
      </c>
      <c r="C420" s="15">
        <v>18610317</v>
      </c>
      <c r="D420" s="15" t="s">
        <v>1983</v>
      </c>
      <c r="E420" s="33">
        <f>45+4/60+45/3600</f>
        <v>45.079166666666673</v>
      </c>
      <c r="F420" s="33">
        <f>7+40/60+34/3600</f>
        <v>7.6761111111111111</v>
      </c>
      <c r="G420" s="25" t="s">
        <v>1985</v>
      </c>
      <c r="H420" s="19">
        <f>VLOOKUP( $A420, Sovereignty!$A$2:$L$510, 12, 0 )</f>
        <v>0</v>
      </c>
    </row>
    <row r="421" spans="1:8" x14ac:dyDescent="0.2">
      <c r="A421" s="15" t="s">
        <v>1980</v>
      </c>
      <c r="B421" s="15">
        <v>17200101</v>
      </c>
      <c r="C421" s="15">
        <v>18470101</v>
      </c>
      <c r="D421" s="15" t="s">
        <v>1982</v>
      </c>
      <c r="E421" s="33">
        <f>39+13/60+40/3600</f>
        <v>39.227777777777781</v>
      </c>
      <c r="F421" s="33">
        <f>9+6/60+40/3600</f>
        <v>9.1111111111111107</v>
      </c>
      <c r="G421" s="25" t="s">
        <v>1984</v>
      </c>
      <c r="H421" s="19">
        <f>VLOOKUP( $A421, Sovereignty!$A$2:$L$510, 12, 0 )</f>
        <v>0</v>
      </c>
    </row>
    <row r="422" spans="1:8" x14ac:dyDescent="0.2">
      <c r="A422" s="15" t="s">
        <v>1988</v>
      </c>
      <c r="B422" s="15">
        <v>18161208</v>
      </c>
      <c r="C422" s="15">
        <v>18610317</v>
      </c>
      <c r="D422" s="15" t="s">
        <v>1989</v>
      </c>
      <c r="E422" s="33">
        <f>40+50/60+9/3600</f>
        <v>40.835833333333333</v>
      </c>
      <c r="F422" s="33">
        <f>14+14/60+55/3600</f>
        <v>14.24861111111111</v>
      </c>
      <c r="G422" s="25" t="s">
        <v>1990</v>
      </c>
      <c r="H422" s="19">
        <f>VLOOKUP( $A422, Sovereignty!$A$2:$L$510, 12, 0 )</f>
        <v>0</v>
      </c>
    </row>
    <row r="423" spans="1:8" x14ac:dyDescent="0.2">
      <c r="A423" s="15" t="s">
        <v>1992</v>
      </c>
      <c r="B423" s="15">
        <v>16311001</v>
      </c>
      <c r="C423" s="15">
        <v>20261231</v>
      </c>
      <c r="D423" s="15" t="s">
        <v>138</v>
      </c>
      <c r="E423" s="33">
        <f>43+56/60</f>
        <v>43.93333333333333</v>
      </c>
      <c r="F423" s="33">
        <f>12+26/60</f>
        <v>12.433333333333334</v>
      </c>
      <c r="G423" s="25" t="s">
        <v>1994</v>
      </c>
      <c r="H423" s="19">
        <f>VLOOKUP( $A423, Sovereignty!$A$2:$L$510, 12, 0 )</f>
        <v>0</v>
      </c>
    </row>
    <row r="424" spans="1:8" x14ac:dyDescent="0.2">
      <c r="A424" s="15" t="s">
        <v>969</v>
      </c>
      <c r="B424" s="15">
        <v>19290211</v>
      </c>
      <c r="C424" s="15">
        <v>20261231</v>
      </c>
      <c r="D424" s="15" t="s">
        <v>177</v>
      </c>
      <c r="E424" s="33">
        <f>41+54.2/60</f>
        <v>41.903333333333336</v>
      </c>
      <c r="F424" s="33">
        <f>12+27.2/60</f>
        <v>12.453333333333333</v>
      </c>
      <c r="G424" s="25" t="s">
        <v>1996</v>
      </c>
      <c r="H424" s="19">
        <f>VLOOKUP( $A424, Sovereignty!$A$2:$L$510, 12, 0 )</f>
        <v>0</v>
      </c>
    </row>
    <row r="425" spans="1:8" x14ac:dyDescent="0.2">
      <c r="A425" s="15" t="s">
        <v>999</v>
      </c>
      <c r="B425" s="15">
        <v>19640921</v>
      </c>
      <c r="C425" s="15">
        <v>20261231</v>
      </c>
      <c r="D425" s="15" t="s">
        <v>312</v>
      </c>
      <c r="E425" s="33">
        <f t="shared" ref="E425:E427" si="58">35+53/60+54/3600</f>
        <v>35.898333333333333</v>
      </c>
      <c r="F425" s="33">
        <f t="shared" ref="F425:F427" si="59">14+30/60+45/3600</f>
        <v>14.512499999999999</v>
      </c>
      <c r="G425" s="25" t="s">
        <v>2006</v>
      </c>
      <c r="H425" s="19">
        <f>VLOOKUP( $A425, Sovereignty!$A$2:$L$510, 12, 0 )</f>
        <v>0</v>
      </c>
    </row>
    <row r="426" spans="1:8" x14ac:dyDescent="0.2">
      <c r="A426" s="15" t="s">
        <v>1997</v>
      </c>
      <c r="B426" s="15">
        <v>18000905</v>
      </c>
      <c r="C426" s="15">
        <v>19640921</v>
      </c>
      <c r="D426" s="15" t="s">
        <v>312</v>
      </c>
      <c r="E426" s="33">
        <f t="shared" si="58"/>
        <v>35.898333333333333</v>
      </c>
      <c r="F426" s="33">
        <f t="shared" si="59"/>
        <v>14.512499999999999</v>
      </c>
      <c r="G426" s="25" t="s">
        <v>2006</v>
      </c>
      <c r="H426" s="19">
        <f>VLOOKUP( $A426, Sovereignty!$A$2:$L$510, 12, 0 )</f>
        <v>0</v>
      </c>
    </row>
    <row r="427" spans="1:8" x14ac:dyDescent="0.2">
      <c r="A427" s="15" t="s">
        <v>1998</v>
      </c>
      <c r="B427" s="15">
        <v>17980612</v>
      </c>
      <c r="C427" s="15">
        <v>18000905</v>
      </c>
      <c r="D427" s="15" t="s">
        <v>312</v>
      </c>
      <c r="E427" s="33">
        <f t="shared" si="58"/>
        <v>35.898333333333333</v>
      </c>
      <c r="F427" s="33">
        <f t="shared" si="59"/>
        <v>14.512499999999999</v>
      </c>
      <c r="G427" s="25" t="s">
        <v>2006</v>
      </c>
      <c r="H427" s="19">
        <f>VLOOKUP( $A427, Sovereignty!$A$2:$L$510, 12, 0 )</f>
        <v>0</v>
      </c>
    </row>
    <row r="428" spans="1:8" x14ac:dyDescent="0.2">
      <c r="A428" s="15" t="s">
        <v>1999</v>
      </c>
      <c r="B428" s="15">
        <v>15710101</v>
      </c>
      <c r="C428" s="15">
        <v>17980612</v>
      </c>
      <c r="D428" s="15" t="s">
        <v>312</v>
      </c>
      <c r="E428" s="33">
        <f>35+53/60+54/3600</f>
        <v>35.898333333333333</v>
      </c>
      <c r="F428" s="33">
        <f>14+30/60+45/3600</f>
        <v>14.512499999999999</v>
      </c>
      <c r="G428" s="25" t="s">
        <v>2006</v>
      </c>
      <c r="H428" s="19">
        <f>VLOOKUP( $A428, Sovereignty!$A$2:$L$510, 12, 0 )</f>
        <v>0</v>
      </c>
    </row>
    <row r="429" spans="1:8" x14ac:dyDescent="0.2">
      <c r="A429" s="15" t="s">
        <v>1999</v>
      </c>
      <c r="B429" s="15">
        <v>15301124</v>
      </c>
      <c r="C429" s="15">
        <v>15710101</v>
      </c>
      <c r="D429" s="15" t="s">
        <v>2004</v>
      </c>
      <c r="E429" s="33">
        <f>35+53/60+17/3600</f>
        <v>35.888055555555553</v>
      </c>
      <c r="F429" s="33">
        <f>14+31/60+21/3600</f>
        <v>14.522500000000001</v>
      </c>
      <c r="G429" s="25" t="s">
        <v>2005</v>
      </c>
      <c r="H429" s="19">
        <f>VLOOKUP( $A429, Sovereignty!$A$2:$L$510, 12, 0 )</f>
        <v>0</v>
      </c>
    </row>
    <row r="430" spans="1:8" x14ac:dyDescent="0.2">
      <c r="A430" s="15" t="s">
        <v>996</v>
      </c>
      <c r="B430" s="15">
        <v>18610211</v>
      </c>
      <c r="C430" s="15">
        <v>20261231</v>
      </c>
      <c r="D430" s="15" t="s">
        <v>104</v>
      </c>
      <c r="E430" s="33">
        <f>43+43/60+52/3600</f>
        <v>43.731111111111112</v>
      </c>
      <c r="F430" s="33">
        <f>7+25/60+12/3600</f>
        <v>7.42</v>
      </c>
      <c r="G430" s="25" t="s">
        <v>2013</v>
      </c>
      <c r="H430" s="19">
        <f>VLOOKUP( $A430, Sovereignty!$A$2:$L$510, 12, 0 )</f>
        <v>0</v>
      </c>
    </row>
    <row r="431" spans="1:8" x14ac:dyDescent="0.2">
      <c r="A431" s="15" t="s">
        <v>2011</v>
      </c>
      <c r="B431" s="15">
        <v>18140406</v>
      </c>
      <c r="C431" s="15">
        <v>18610211</v>
      </c>
      <c r="D431" s="15" t="s">
        <v>104</v>
      </c>
      <c r="E431" s="33">
        <f t="shared" ref="E431:E433" si="60">43+43/60+52/3600</f>
        <v>43.731111111111112</v>
      </c>
      <c r="F431" s="33">
        <f t="shared" ref="F431:F433" si="61">7+25/60+12/3600</f>
        <v>7.42</v>
      </c>
      <c r="G431" s="25" t="s">
        <v>2013</v>
      </c>
      <c r="H431" s="19">
        <f>VLOOKUP( $A431, Sovereignty!$A$2:$L$510, 12, 0 )</f>
        <v>0</v>
      </c>
    </row>
    <row r="432" spans="1:8" x14ac:dyDescent="0.2">
      <c r="A432" s="15" t="s">
        <v>2012</v>
      </c>
      <c r="B432" s="15">
        <v>17930130</v>
      </c>
      <c r="C432" s="15">
        <v>18140406</v>
      </c>
      <c r="D432" s="15" t="s">
        <v>104</v>
      </c>
      <c r="E432" s="33">
        <f t="shared" si="60"/>
        <v>43.731111111111112</v>
      </c>
      <c r="F432" s="33">
        <f t="shared" si="61"/>
        <v>7.42</v>
      </c>
      <c r="G432" s="25" t="s">
        <v>2013</v>
      </c>
      <c r="H432" s="19">
        <f>VLOOKUP( $A432, Sovereignty!$A$2:$L$510, 12, 0 )</f>
        <v>0</v>
      </c>
    </row>
    <row r="433" spans="1:8" x14ac:dyDescent="0.2">
      <c r="A433" s="15" t="s">
        <v>2010</v>
      </c>
      <c r="B433" s="15">
        <v>16410114</v>
      </c>
      <c r="C433" s="15">
        <v>17930130</v>
      </c>
      <c r="D433" s="15" t="s">
        <v>104</v>
      </c>
      <c r="E433" s="33">
        <f t="shared" si="60"/>
        <v>43.731111111111112</v>
      </c>
      <c r="F433" s="33">
        <f t="shared" si="61"/>
        <v>7.42</v>
      </c>
      <c r="G433" s="25" t="s">
        <v>2013</v>
      </c>
      <c r="H433" s="19">
        <f>VLOOKUP( $A433, Sovereignty!$A$2:$L$510, 12, 0 )</f>
        <v>0</v>
      </c>
    </row>
    <row r="434" spans="1:8" x14ac:dyDescent="0.2">
      <c r="A434" s="15" t="s">
        <v>2016</v>
      </c>
      <c r="B434" s="15">
        <v>18210426</v>
      </c>
      <c r="C434" s="15">
        <v>20261231</v>
      </c>
      <c r="D434" s="15" t="s">
        <v>343</v>
      </c>
      <c r="E434" s="33">
        <f t="shared" ref="E434" si="62">38+46/60</f>
        <v>38.766666666666666</v>
      </c>
      <c r="F434" s="33">
        <f t="shared" ref="F434" si="63">-9-9/60</f>
        <v>-9.15</v>
      </c>
      <c r="G434" s="25" t="s">
        <v>2017</v>
      </c>
      <c r="H434" s="19">
        <f>VLOOKUP( $A434, Sovereignty!$A$2:$L$510, 12, 0 )</f>
        <v>0</v>
      </c>
    </row>
    <row r="435" spans="1:8" x14ac:dyDescent="0.2">
      <c r="A435" s="15" t="s">
        <v>2016</v>
      </c>
      <c r="B435" s="15">
        <v>18080307</v>
      </c>
      <c r="C435" s="15">
        <v>18210426</v>
      </c>
      <c r="D435" s="15" t="s">
        <v>655</v>
      </c>
      <c r="E435" s="33">
        <f>-22-54/60-40/3600</f>
        <v>-22.911111111111111</v>
      </c>
      <c r="F435" s="33">
        <f>-43-12/60-20/3600</f>
        <v>-43.205555555555556</v>
      </c>
      <c r="G435" s="25" t="s">
        <v>2339</v>
      </c>
      <c r="H435" s="19">
        <f>VLOOKUP( $A435, Sovereignty!$A$2:$L$510, 12, 0 )</f>
        <v>0</v>
      </c>
    </row>
    <row r="436" spans="1:8" x14ac:dyDescent="0.2">
      <c r="A436" s="15" t="s">
        <v>2016</v>
      </c>
      <c r="B436" s="15">
        <v>11390725</v>
      </c>
      <c r="C436" s="15">
        <v>18080307</v>
      </c>
      <c r="D436" s="15" t="s">
        <v>343</v>
      </c>
      <c r="E436" s="33">
        <f>38+46/60</f>
        <v>38.766666666666666</v>
      </c>
      <c r="F436" s="33">
        <f>-9-9/60</f>
        <v>-9.15</v>
      </c>
      <c r="G436" s="25" t="s">
        <v>2017</v>
      </c>
      <c r="H436" s="19">
        <f>VLOOKUP( $A436, Sovereignty!$A$2:$L$510, 12, 0 )</f>
        <v>0</v>
      </c>
    </row>
    <row r="437" spans="1:8" x14ac:dyDescent="0.2">
      <c r="A437" s="15" t="s">
        <v>2018</v>
      </c>
      <c r="B437" s="15">
        <v>14360101</v>
      </c>
      <c r="C437" s="15">
        <v>20261231</v>
      </c>
      <c r="D437" s="15" t="s">
        <v>875</v>
      </c>
      <c r="E437" s="33">
        <f>37+44/60+28/3600</f>
        <v>37.74111111111111</v>
      </c>
      <c r="F437" s="33">
        <f>-25-40/60-50/3600</f>
        <v>-25.680555555555557</v>
      </c>
      <c r="G437" s="25" t="s">
        <v>2019</v>
      </c>
      <c r="H437" s="19">
        <f>VLOOKUP( $A437, Sovereignty!$A$2:$L$510, 12, 0 )</f>
        <v>0</v>
      </c>
    </row>
    <row r="438" spans="1:8" x14ac:dyDescent="0.2">
      <c r="A438" s="15" t="s">
        <v>877</v>
      </c>
      <c r="B438" s="15">
        <v>14250101</v>
      </c>
      <c r="C438" s="15">
        <v>20261231</v>
      </c>
      <c r="D438" s="15" t="s">
        <v>878</v>
      </c>
      <c r="E438" s="33">
        <f>32+45/60</f>
        <v>32.75</v>
      </c>
      <c r="F438" s="33">
        <f>-17</f>
        <v>-17</v>
      </c>
      <c r="G438" s="25" t="s">
        <v>2020</v>
      </c>
      <c r="H438" s="19">
        <f>VLOOKUP( $A438, Sovereignty!$A$2:$L$510, 12, 0 )</f>
        <v>0</v>
      </c>
    </row>
    <row r="439" spans="1:8" x14ac:dyDescent="0.2">
      <c r="A439" s="15" t="s">
        <v>990</v>
      </c>
      <c r="B439" s="15">
        <v>15160314</v>
      </c>
      <c r="C439" s="15">
        <v>20261231</v>
      </c>
      <c r="D439" s="15" t="s">
        <v>365</v>
      </c>
      <c r="E439" s="33">
        <f>40+26/60</f>
        <v>40.43333333333333</v>
      </c>
      <c r="F439" s="33">
        <f>-3-42/60</f>
        <v>-3.7</v>
      </c>
      <c r="G439" s="25" t="s">
        <v>2021</v>
      </c>
      <c r="H439" s="19">
        <f>VLOOKUP( $A439, Sovereignty!$A$2:$L$510, 12, 0 )</f>
        <v>0</v>
      </c>
    </row>
    <row r="440" spans="1:8" x14ac:dyDescent="0.2">
      <c r="A440" s="15" t="s">
        <v>2023</v>
      </c>
      <c r="B440" s="15">
        <v>12780908</v>
      </c>
      <c r="C440" s="15">
        <v>20261231</v>
      </c>
      <c r="D440" s="15" t="s">
        <v>194</v>
      </c>
      <c r="E440" s="33">
        <f>42+30/60+23/3600</f>
        <v>42.506388888888885</v>
      </c>
      <c r="F440" s="33">
        <f>1+31/60+17/3600</f>
        <v>1.5213888888888889</v>
      </c>
      <c r="G440" s="25" t="s">
        <v>2024</v>
      </c>
      <c r="H440" s="19">
        <f>VLOOKUP( $A440, Sovereignty!$A$2:$L$510, 12, 0 )</f>
        <v>0</v>
      </c>
    </row>
    <row r="441" spans="1:8" x14ac:dyDescent="0.2">
      <c r="A441" s="15" t="s">
        <v>995</v>
      </c>
      <c r="B441" s="15">
        <v>8430810</v>
      </c>
      <c r="C441" s="15">
        <v>20261231</v>
      </c>
      <c r="D441" s="15" t="s">
        <v>257</v>
      </c>
      <c r="E441" s="33">
        <f>48+51/60+24/3600</f>
        <v>48.856666666666669</v>
      </c>
      <c r="F441" s="33">
        <f>2+21/60+8/3600</f>
        <v>2.3522222222222222</v>
      </c>
      <c r="G441" s="25" t="s">
        <v>2026</v>
      </c>
      <c r="H441" s="19">
        <f>VLOOKUP( $A441, Sovereignty!$A$2:$L$510, 12, 0 )</f>
        <v>0</v>
      </c>
    </row>
    <row r="442" spans="1:8" x14ac:dyDescent="0.2">
      <c r="A442" s="15" t="s">
        <v>2136</v>
      </c>
      <c r="B442" s="15">
        <v>19440910</v>
      </c>
      <c r="C442" s="15">
        <v>20261231</v>
      </c>
      <c r="D442" s="15" t="s">
        <v>92</v>
      </c>
      <c r="E442" s="33">
        <f>49+36/60+38/3600</f>
        <v>49.610555555555557</v>
      </c>
      <c r="F442" s="33">
        <f>6+7/60+58/3600</f>
        <v>6.1327777777777772</v>
      </c>
      <c r="G442" s="25" t="s">
        <v>2139</v>
      </c>
      <c r="H442" s="19">
        <f>VLOOKUP( $A442, Sovereignty!$A$2:$L$510, 12, 0 )</f>
        <v>0</v>
      </c>
    </row>
    <row r="443" spans="1:8" x14ac:dyDescent="0.2">
      <c r="A443" s="15" t="s">
        <v>2137</v>
      </c>
      <c r="B443" s="15">
        <v>18150101</v>
      </c>
      <c r="C443" s="15">
        <v>19400510</v>
      </c>
      <c r="D443" s="15" t="s">
        <v>92</v>
      </c>
      <c r="E443" s="33">
        <f t="shared" ref="E443:E444" si="64">49+36/60+38/3600</f>
        <v>49.610555555555557</v>
      </c>
      <c r="F443" s="33">
        <f t="shared" ref="F443:F444" si="65">6+7/60+58/3600</f>
        <v>6.1327777777777772</v>
      </c>
      <c r="G443" s="25" t="s">
        <v>2139</v>
      </c>
      <c r="H443" s="19">
        <f>VLOOKUP( $A443, Sovereignty!$A$2:$L$510, 12, 0 )</f>
        <v>0</v>
      </c>
    </row>
    <row r="444" spans="1:8" x14ac:dyDescent="0.2">
      <c r="A444" s="15" t="s">
        <v>2138</v>
      </c>
      <c r="B444" s="15">
        <v>13540101</v>
      </c>
      <c r="C444" s="15">
        <v>17970101</v>
      </c>
      <c r="D444" s="15" t="s">
        <v>92</v>
      </c>
      <c r="E444" s="33">
        <f t="shared" si="64"/>
        <v>49.610555555555557</v>
      </c>
      <c r="F444" s="33">
        <f t="shared" si="65"/>
        <v>6.1327777777777772</v>
      </c>
      <c r="G444" s="25" t="s">
        <v>2139</v>
      </c>
      <c r="H444" s="19">
        <f>VLOOKUP( $A444, Sovereignty!$A$2:$L$510, 12, 0 )</f>
        <v>0</v>
      </c>
    </row>
    <row r="445" spans="1:8" x14ac:dyDescent="0.2">
      <c r="A445" s="15" t="s">
        <v>997</v>
      </c>
      <c r="B445" s="15">
        <v>18301004</v>
      </c>
      <c r="C445" s="15">
        <v>20261231</v>
      </c>
      <c r="D445" s="15" t="s">
        <v>208</v>
      </c>
      <c r="E445" s="33">
        <f>50+51/60</f>
        <v>50.85</v>
      </c>
      <c r="F445" s="33">
        <f>4+21/60</f>
        <v>4.3499999999999996</v>
      </c>
      <c r="G445" s="25" t="s">
        <v>2150</v>
      </c>
      <c r="H445" s="19">
        <f>VLOOKUP( $A445, Sovereignty!$A$2:$L$510, 12, 0 )</f>
        <v>0</v>
      </c>
    </row>
    <row r="446" spans="1:8" x14ac:dyDescent="0.2">
      <c r="A446" s="15" t="s">
        <v>2151</v>
      </c>
      <c r="B446" s="15">
        <v>18150316</v>
      </c>
      <c r="C446" s="15">
        <v>20261231</v>
      </c>
      <c r="D446" s="15" t="s">
        <v>326</v>
      </c>
      <c r="E446" s="33">
        <f>52+22/60</f>
        <v>52.366666666666667</v>
      </c>
      <c r="F446" s="33">
        <f>4+53/60</f>
        <v>4.8833333333333329</v>
      </c>
      <c r="G446" s="25" t="s">
        <v>2155</v>
      </c>
      <c r="H446" s="19">
        <f>VLOOKUP( $A446, Sovereignty!$A$2:$L$510, 12, 0 )</f>
        <v>0</v>
      </c>
    </row>
    <row r="447" spans="1:8" x14ac:dyDescent="0.2">
      <c r="A447" s="15" t="s">
        <v>2153</v>
      </c>
      <c r="B447" s="15">
        <v>18080101</v>
      </c>
      <c r="C447" s="15">
        <v>18100701</v>
      </c>
      <c r="D447" s="15" t="s">
        <v>326</v>
      </c>
      <c r="E447" s="33">
        <f>52+22/60</f>
        <v>52.366666666666667</v>
      </c>
      <c r="F447" s="33">
        <f>4+53/60</f>
        <v>4.8833333333333329</v>
      </c>
      <c r="G447" s="25" t="s">
        <v>2155</v>
      </c>
      <c r="H447" s="19">
        <f>VLOOKUP( $A447, Sovereignty!$A$2:$L$510, 12, 0 )</f>
        <v>0</v>
      </c>
    </row>
    <row r="448" spans="1:8" x14ac:dyDescent="0.2">
      <c r="A448" s="15" t="s">
        <v>2153</v>
      </c>
      <c r="B448" s="15">
        <v>15810726</v>
      </c>
      <c r="C448" s="15">
        <v>18080101</v>
      </c>
      <c r="D448" s="15" t="s">
        <v>2156</v>
      </c>
      <c r="E448" s="33">
        <f>52+4/60+48/3600</f>
        <v>52.080000000000005</v>
      </c>
      <c r="F448" s="33">
        <f>4+18/60+36/3600</f>
        <v>4.3099999999999996</v>
      </c>
      <c r="G448" s="25" t="s">
        <v>2157</v>
      </c>
      <c r="H448" s="19">
        <f>VLOOKUP( $A448, Sovereignty!$A$2:$L$510, 12, 0 )</f>
        <v>0</v>
      </c>
    </row>
    <row r="449" spans="1:8" x14ac:dyDescent="0.2">
      <c r="A449" s="15" t="s">
        <v>2166</v>
      </c>
      <c r="B449" s="15">
        <v>18140114</v>
      </c>
      <c r="C449" s="15">
        <v>20261231</v>
      </c>
      <c r="D449" s="15" t="s">
        <v>242</v>
      </c>
      <c r="E449" s="33">
        <f>55+40/60+20/3600</f>
        <v>55.672222222222217</v>
      </c>
      <c r="F449" s="33">
        <f>12+31/60+30/3600</f>
        <v>12.525</v>
      </c>
      <c r="G449" s="25" t="s">
        <v>2167</v>
      </c>
      <c r="H449" s="19">
        <f>VLOOKUP( $A449, Sovereignty!$A$2:$L$510, 12, 0 )</f>
        <v>0</v>
      </c>
    </row>
    <row r="450" spans="1:8" x14ac:dyDescent="0.2">
      <c r="A450" s="15" t="s">
        <v>2164</v>
      </c>
      <c r="B450" s="15">
        <v>15370101</v>
      </c>
      <c r="C450" s="15">
        <v>18140114</v>
      </c>
      <c r="D450" s="15" t="s">
        <v>242</v>
      </c>
      <c r="E450" s="33">
        <f>55+40/60+20/3600</f>
        <v>55.672222222222217</v>
      </c>
      <c r="F450" s="33">
        <f>12+31/60+30/3600</f>
        <v>12.525</v>
      </c>
      <c r="G450" s="25" t="s">
        <v>2167</v>
      </c>
      <c r="H450" s="19">
        <f>VLOOKUP( $A450, Sovereignty!$A$2:$L$510, 12, 0 )</f>
        <v>0</v>
      </c>
    </row>
    <row r="451" spans="1:8" x14ac:dyDescent="0.2">
      <c r="A451" s="15" t="s">
        <v>994</v>
      </c>
      <c r="B451" s="15">
        <v>18710118</v>
      </c>
      <c r="C451" s="15">
        <v>19450508</v>
      </c>
      <c r="D451" s="15" t="s">
        <v>261</v>
      </c>
      <c r="E451" s="33">
        <f>52+31/60+12/3600</f>
        <v>52.519999999999996</v>
      </c>
      <c r="F451" s="33">
        <f>13+24/60+18/3600</f>
        <v>13.405000000000001</v>
      </c>
      <c r="G451" s="25" t="s">
        <v>2173</v>
      </c>
      <c r="H451" s="19">
        <f>VLOOKUP( $A451, Sovereignty!$A$2:$L$510, 12, 0 )</f>
        <v>0</v>
      </c>
    </row>
    <row r="452" spans="1:8" x14ac:dyDescent="0.2">
      <c r="A452" s="15" t="s">
        <v>2172</v>
      </c>
      <c r="B452" s="15">
        <v>18091201</v>
      </c>
      <c r="C452" s="15">
        <v>18710118</v>
      </c>
      <c r="D452" s="15" t="s">
        <v>261</v>
      </c>
      <c r="E452" s="33">
        <f>52+31/60+12/3600</f>
        <v>52.519999999999996</v>
      </c>
      <c r="F452" s="33">
        <f>13+24/60+18/3600</f>
        <v>13.405000000000001</v>
      </c>
      <c r="G452" s="25" t="s">
        <v>2173</v>
      </c>
      <c r="H452" s="19">
        <f>VLOOKUP( $A452, Sovereignty!$A$2:$L$510, 12, 0 )</f>
        <v>0</v>
      </c>
    </row>
    <row r="453" spans="1:8" x14ac:dyDescent="0.2">
      <c r="A453" s="15" t="s">
        <v>2172</v>
      </c>
      <c r="B453" s="15">
        <v>18060101</v>
      </c>
      <c r="C453" s="15">
        <v>18091201</v>
      </c>
      <c r="D453" s="15" t="s">
        <v>2174</v>
      </c>
      <c r="E453" s="33">
        <f>54+42/60+41.3/3600</f>
        <v>54.711472222222227</v>
      </c>
      <c r="F453" s="33">
        <f>20+30/60+33.5/3600</f>
        <v>20.509305555555557</v>
      </c>
      <c r="G453" s="25" t="s">
        <v>2175</v>
      </c>
      <c r="H453" s="19">
        <f>VLOOKUP( $A453, Sovereignty!$A$2:$L$510, 12, 0 )</f>
        <v>0</v>
      </c>
    </row>
    <row r="454" spans="1:8" x14ac:dyDescent="0.2">
      <c r="A454" s="15" t="s">
        <v>2172</v>
      </c>
      <c r="B454" s="15">
        <v>17010118</v>
      </c>
      <c r="C454" s="15">
        <v>18060101</v>
      </c>
      <c r="D454" s="15" t="s">
        <v>261</v>
      </c>
      <c r="E454" s="33">
        <f>52+31/60+12/3600</f>
        <v>52.519999999999996</v>
      </c>
      <c r="F454" s="33">
        <f>13+24/60+18/3600</f>
        <v>13.405000000000001</v>
      </c>
      <c r="G454" s="25" t="s">
        <v>2173</v>
      </c>
      <c r="H454" s="19">
        <f>VLOOKUP( $A454, Sovereignty!$A$2:$L$510, 12, 0 )</f>
        <v>0</v>
      </c>
    </row>
    <row r="455" spans="1:8" x14ac:dyDescent="0.2">
      <c r="A455" s="15" t="s">
        <v>2178</v>
      </c>
      <c r="B455" s="15">
        <v>18060801</v>
      </c>
      <c r="C455" s="15">
        <v>18710118</v>
      </c>
      <c r="D455" s="15" t="s">
        <v>2180</v>
      </c>
      <c r="E455" s="33">
        <f>48+8/60+15/3600</f>
        <v>48.137500000000003</v>
      </c>
      <c r="F455" s="33">
        <f>11+34/60+30/3600</f>
        <v>11.574999999999999</v>
      </c>
      <c r="G455" s="25" t="s">
        <v>2181</v>
      </c>
      <c r="H455" s="19">
        <f>VLOOKUP( $A455, Sovereignty!$A$2:$L$510, 12, 0 )</f>
        <v>0</v>
      </c>
    </row>
    <row r="456" spans="1:8" x14ac:dyDescent="0.2">
      <c r="A456" s="15" t="s">
        <v>2183</v>
      </c>
      <c r="B456" s="15">
        <v>18061211</v>
      </c>
      <c r="C456" s="15">
        <v>18710118</v>
      </c>
      <c r="D456" s="15" t="s">
        <v>2185</v>
      </c>
      <c r="E456" s="33">
        <f>51+3/60</f>
        <v>51.05</v>
      </c>
      <c r="F456" s="33">
        <f>13+44/60+24/3600</f>
        <v>13.739999999999998</v>
      </c>
      <c r="G456" s="25" t="s">
        <v>2186</v>
      </c>
      <c r="H456" s="19">
        <f>VLOOKUP( $A456, Sovereignty!$A$2:$L$510, 12, 0 )</f>
        <v>0</v>
      </c>
    </row>
    <row r="457" spans="1:8" x14ac:dyDescent="0.2">
      <c r="A457" s="15" t="s">
        <v>2188</v>
      </c>
      <c r="B457" s="15">
        <v>18141012</v>
      </c>
      <c r="C457" s="15">
        <v>18660920</v>
      </c>
      <c r="D457" s="15" t="s">
        <v>2189</v>
      </c>
      <c r="E457" s="33">
        <f>52+22/60</f>
        <v>52.366666666666667</v>
      </c>
      <c r="F457" s="33">
        <f>9+43/60</f>
        <v>9.7166666666666668</v>
      </c>
      <c r="G457" s="25" t="s">
        <v>2190</v>
      </c>
      <c r="H457" s="19">
        <f>VLOOKUP( $A457, Sovereignty!$A$2:$L$510, 12, 0 )</f>
        <v>0</v>
      </c>
    </row>
    <row r="458" spans="1:8" x14ac:dyDescent="0.2">
      <c r="A458" s="15" t="s">
        <v>2194</v>
      </c>
      <c r="B458" s="15">
        <v>18061226</v>
      </c>
      <c r="C458" s="15">
        <v>18710118</v>
      </c>
      <c r="D458" s="15" t="s">
        <v>2195</v>
      </c>
      <c r="E458" s="33">
        <f>48+46/60+39/3600</f>
        <v>48.777499999999996</v>
      </c>
      <c r="F458" s="33">
        <f>9+10/60+48/3600</f>
        <v>9.18</v>
      </c>
      <c r="G458" s="25" t="s">
        <v>2196</v>
      </c>
      <c r="H458" s="19">
        <f>VLOOKUP( $A458, Sovereignty!$A$2:$L$510, 12, 0 )</f>
        <v>0</v>
      </c>
    </row>
    <row r="459" spans="1:8" x14ac:dyDescent="0.2">
      <c r="A459" s="15" t="s">
        <v>2197</v>
      </c>
      <c r="B459" s="15">
        <v>18061024</v>
      </c>
      <c r="C459" s="15">
        <v>18710118</v>
      </c>
      <c r="D459" s="15" t="s">
        <v>2200</v>
      </c>
      <c r="E459" s="33">
        <f>49+33/3600</f>
        <v>49.009166666666665</v>
      </c>
      <c r="F459" s="33">
        <f>8+24/60+14/3600</f>
        <v>8.4038888888888899</v>
      </c>
      <c r="G459" s="25" t="s">
        <v>2201</v>
      </c>
      <c r="H459" s="19">
        <f>VLOOKUP( $A459, Sovereignty!$A$2:$L$510, 12, 0 )</f>
        <v>0</v>
      </c>
    </row>
    <row r="460" spans="1:8" x14ac:dyDescent="0.2">
      <c r="A460" s="15" t="s">
        <v>2203</v>
      </c>
      <c r="B460" s="15">
        <v>18150608</v>
      </c>
      <c r="C460" s="15">
        <v>18710118</v>
      </c>
      <c r="D460" s="15" t="s">
        <v>2205</v>
      </c>
      <c r="E460" s="33">
        <f>53+47/60+30/3600</f>
        <v>53.791666666666664</v>
      </c>
      <c r="F460" s="33">
        <f>9+25/60+19/3600</f>
        <v>9.4219444444444438</v>
      </c>
      <c r="G460" s="25" t="s">
        <v>2206</v>
      </c>
      <c r="H460" s="19">
        <f>VLOOKUP( $A460, Sovereignty!$A$2:$L$510, 12, 0 )</f>
        <v>0</v>
      </c>
    </row>
    <row r="461" spans="1:8" x14ac:dyDescent="0.2">
      <c r="A461" s="15" t="s">
        <v>2211</v>
      </c>
      <c r="B461" s="15">
        <v>19490523</v>
      </c>
      <c r="C461" s="15">
        <v>19901003</v>
      </c>
      <c r="D461" s="15" t="s">
        <v>2214</v>
      </c>
      <c r="E461" s="33">
        <f>50+44/60+7/3600</f>
        <v>50.735277777777782</v>
      </c>
      <c r="F461" s="33">
        <f>7+6/60+8/3600</f>
        <v>7.1022222222222222</v>
      </c>
      <c r="G461" s="25" t="s">
        <v>2215</v>
      </c>
      <c r="H461" s="19">
        <f>VLOOKUP( $A461, Sovereignty!$A$2:$L$510, 12, 0 )</f>
        <v>0</v>
      </c>
    </row>
    <row r="462" spans="1:8" x14ac:dyDescent="0.2">
      <c r="A462" s="15" t="s">
        <v>2212</v>
      </c>
      <c r="B462" s="15">
        <v>19490523</v>
      </c>
      <c r="C462" s="15">
        <v>19901003</v>
      </c>
      <c r="D462" s="15" t="s">
        <v>261</v>
      </c>
      <c r="E462" s="33">
        <f>52+31/60+12/3600</f>
        <v>52.519999999999996</v>
      </c>
      <c r="F462" s="33">
        <f>13+24/60+18/3600</f>
        <v>13.405000000000001</v>
      </c>
      <c r="G462" s="25" t="s">
        <v>2173</v>
      </c>
      <c r="H462" s="19">
        <f>VLOOKUP( $A462, Sovereignty!$A$2:$L$510, 12, 0 )</f>
        <v>0</v>
      </c>
    </row>
    <row r="463" spans="1:8" x14ac:dyDescent="0.2">
      <c r="A463" s="15" t="s">
        <v>2208</v>
      </c>
      <c r="B463" s="15">
        <v>19901003</v>
      </c>
      <c r="C463" s="15">
        <v>20261231</v>
      </c>
      <c r="D463" s="15" t="s">
        <v>261</v>
      </c>
      <c r="E463" s="33">
        <f>52+31/60+12/3600</f>
        <v>52.519999999999996</v>
      </c>
      <c r="F463" s="33">
        <f>13+24/60+18/3600</f>
        <v>13.405000000000001</v>
      </c>
      <c r="G463" s="25" t="s">
        <v>2173</v>
      </c>
      <c r="H463" s="19">
        <f>VLOOKUP( $A463, Sovereignty!$A$2:$L$510, 12, 0 )</f>
        <v>0</v>
      </c>
    </row>
    <row r="464" spans="1:8" x14ac:dyDescent="0.2">
      <c r="A464" s="15" t="s">
        <v>984</v>
      </c>
      <c r="B464" s="15">
        <v>19171206</v>
      </c>
      <c r="C464" s="15">
        <v>20261231</v>
      </c>
      <c r="D464" s="15" t="s">
        <v>256</v>
      </c>
      <c r="E464" s="33">
        <f>60+10/60+15/3600</f>
        <v>60.170833333333334</v>
      </c>
      <c r="F464" s="33">
        <f>24+56/60+15/3600</f>
        <v>24.9375</v>
      </c>
      <c r="G464" s="25" t="s">
        <v>2235</v>
      </c>
      <c r="H464" s="19">
        <f>VLOOKUP( $A464, Sovereignty!$A$2:$L$510, 12, 0 )</f>
        <v>0</v>
      </c>
    </row>
    <row r="465" spans="1:8" x14ac:dyDescent="0.2">
      <c r="A465" s="15" t="s">
        <v>2232</v>
      </c>
      <c r="B465" s="15">
        <v>18120101</v>
      </c>
      <c r="C465" s="15">
        <v>19171206</v>
      </c>
      <c r="D465" s="15" t="s">
        <v>256</v>
      </c>
      <c r="E465" s="33">
        <f>60+10/60+15/3600</f>
        <v>60.170833333333334</v>
      </c>
      <c r="F465" s="33">
        <f>24+56/60+15/3600</f>
        <v>24.9375</v>
      </c>
      <c r="G465" s="25" t="s">
        <v>2235</v>
      </c>
      <c r="H465" s="19">
        <f>VLOOKUP( $A465, Sovereignty!$A$2:$L$510, 12, 0 )</f>
        <v>0</v>
      </c>
    </row>
    <row r="466" spans="1:8" x14ac:dyDescent="0.2">
      <c r="A466" s="15" t="s">
        <v>2232</v>
      </c>
      <c r="B466" s="15">
        <v>18090917</v>
      </c>
      <c r="C466" s="15">
        <v>18120101</v>
      </c>
      <c r="D466" s="15" t="s">
        <v>2233</v>
      </c>
      <c r="E466" s="33">
        <f>60+27/60+6/3600</f>
        <v>60.451666666666668</v>
      </c>
      <c r="F466" s="33">
        <f>22+16/60+1/3600</f>
        <v>22.266944444444444</v>
      </c>
      <c r="G466" s="25" t="s">
        <v>2234</v>
      </c>
      <c r="H466" s="19">
        <f>VLOOKUP( $A466, Sovereignty!$A$2:$L$510, 12, 0 )</f>
        <v>0</v>
      </c>
    </row>
    <row r="467" spans="1:8" x14ac:dyDescent="0.2">
      <c r="A467" s="15" t="s">
        <v>986</v>
      </c>
      <c r="B467" s="15">
        <v>15230101</v>
      </c>
      <c r="C467" s="15">
        <v>20261231</v>
      </c>
      <c r="D467" s="15" t="s">
        <v>369</v>
      </c>
      <c r="E467" s="33">
        <f>59+21/60</f>
        <v>59.35</v>
      </c>
      <c r="F467" s="33">
        <f>18+4/60</f>
        <v>18.066666666666666</v>
      </c>
      <c r="G467" s="25" t="s">
        <v>2238</v>
      </c>
      <c r="H467" s="19">
        <f>VLOOKUP( $A467, Sovereignty!$A$2:$L$510, 12, 0 )</f>
        <v>0</v>
      </c>
    </row>
    <row r="468" spans="1:8" x14ac:dyDescent="0.2">
      <c r="A468" s="15" t="s">
        <v>2243</v>
      </c>
      <c r="B468" s="15">
        <v>18140114</v>
      </c>
      <c r="C468" s="15">
        <v>20261231</v>
      </c>
      <c r="D468" s="15" t="s">
        <v>333</v>
      </c>
      <c r="E468" s="33">
        <f>59+56/60</f>
        <v>59.93333333333333</v>
      </c>
      <c r="F468" s="33">
        <f>10+41/60</f>
        <v>10.683333333333334</v>
      </c>
      <c r="G468" s="25" t="s">
        <v>2241</v>
      </c>
      <c r="H468" s="19">
        <f>VLOOKUP( $A468, Sovereignty!$A$2:$L$510, 12, 0 )</f>
        <v>0</v>
      </c>
    </row>
    <row r="469" spans="1:8" x14ac:dyDescent="0.2">
      <c r="A469" s="15" t="s">
        <v>2244</v>
      </c>
      <c r="B469" s="15">
        <v>19200209</v>
      </c>
      <c r="C469" s="15">
        <v>20261231</v>
      </c>
      <c r="D469" s="15" t="s">
        <v>879</v>
      </c>
      <c r="E469" s="33">
        <f>78+13/60</f>
        <v>78.216666666666669</v>
      </c>
      <c r="F469" s="33">
        <f>15+39/60</f>
        <v>15.65</v>
      </c>
      <c r="G469" s="25" t="s">
        <v>2245</v>
      </c>
      <c r="H469" s="19">
        <f>VLOOKUP( $A469, Sovereignty!$A$2:$L$510, 12, 0 )</f>
        <v>0</v>
      </c>
    </row>
    <row r="470" spans="1:8" x14ac:dyDescent="0.2">
      <c r="A470" s="15" t="s">
        <v>2254</v>
      </c>
      <c r="B470" s="15">
        <v>19221206</v>
      </c>
      <c r="C470" s="15">
        <v>20261231</v>
      </c>
      <c r="D470" s="15" t="s">
        <v>388</v>
      </c>
      <c r="E470" s="33">
        <f>51+30/60</f>
        <v>51.5</v>
      </c>
      <c r="F470" s="33">
        <f>-7/60</f>
        <v>-0.11666666666666667</v>
      </c>
      <c r="G470" s="25" t="s">
        <v>2258</v>
      </c>
      <c r="H470" s="19">
        <f>VLOOKUP( $A470, Sovereignty!$A$2:$L$510, 12, 0 )</f>
        <v>0</v>
      </c>
    </row>
    <row r="471" spans="1:8" x14ac:dyDescent="0.2">
      <c r="A471" s="15" t="s">
        <v>982</v>
      </c>
      <c r="B471" s="15">
        <v>18010101</v>
      </c>
      <c r="C471" s="15">
        <v>19221206</v>
      </c>
      <c r="D471" s="15" t="s">
        <v>388</v>
      </c>
      <c r="E471" s="33">
        <f>51+30/60</f>
        <v>51.5</v>
      </c>
      <c r="F471" s="33">
        <f t="shared" ref="F471:F472" si="66">-7/60</f>
        <v>-0.11666666666666667</v>
      </c>
      <c r="G471" s="25" t="s">
        <v>2258</v>
      </c>
      <c r="H471" s="19">
        <f>VLOOKUP( $A471, Sovereignty!$A$2:$L$510, 12, 0 )</f>
        <v>0</v>
      </c>
    </row>
    <row r="472" spans="1:8" x14ac:dyDescent="0.2">
      <c r="A472" s="15" t="s">
        <v>2253</v>
      </c>
      <c r="B472" s="15">
        <v>17070501</v>
      </c>
      <c r="C472" s="15">
        <v>18010101</v>
      </c>
      <c r="D472" s="15" t="s">
        <v>388</v>
      </c>
      <c r="E472" s="33">
        <f>51+30/60</f>
        <v>51.5</v>
      </c>
      <c r="F472" s="33">
        <f t="shared" si="66"/>
        <v>-0.11666666666666667</v>
      </c>
      <c r="G472" s="25" t="s">
        <v>2258</v>
      </c>
      <c r="H472" s="19">
        <f>VLOOKUP( $A472, Sovereignty!$A$2:$L$510, 12, 0 )</f>
        <v>0</v>
      </c>
    </row>
    <row r="473" spans="1:8" x14ac:dyDescent="0.2">
      <c r="A473" s="15" t="s">
        <v>2111</v>
      </c>
      <c r="B473" s="15">
        <v>18140114</v>
      </c>
      <c r="C473" s="15">
        <v>20261231</v>
      </c>
      <c r="D473" s="15" t="s">
        <v>880</v>
      </c>
      <c r="E473" s="33">
        <f>62</f>
        <v>62</v>
      </c>
      <c r="F473" s="33">
        <f>-6-47/60</f>
        <v>-6.7833333333333332</v>
      </c>
      <c r="G473" s="25" t="s">
        <v>2112</v>
      </c>
      <c r="H473" s="19">
        <f>VLOOKUP( $A473, Sovereignty!$A$2:$L$510, 12, 0 )</f>
        <v>0</v>
      </c>
    </row>
    <row r="474" spans="1:8" x14ac:dyDescent="0.2">
      <c r="A474" s="15" t="s">
        <v>2246</v>
      </c>
      <c r="B474" s="15">
        <v>19490418</v>
      </c>
      <c r="C474" s="15">
        <v>20261231</v>
      </c>
      <c r="D474" s="15" t="s">
        <v>286</v>
      </c>
      <c r="E474" s="33">
        <f>53+21/60</f>
        <v>53.35</v>
      </c>
      <c r="F474" s="33">
        <f>-6-16/60</f>
        <v>-6.2666666666666666</v>
      </c>
      <c r="G474" s="25" t="s">
        <v>2249</v>
      </c>
      <c r="H474" s="19">
        <f>VLOOKUP( $A474, Sovereignty!$A$2:$L$510, 12, 0 )</f>
        <v>0</v>
      </c>
    </row>
    <row r="475" spans="1:8" x14ac:dyDescent="0.2">
      <c r="A475" s="15" t="s">
        <v>2374</v>
      </c>
      <c r="B475" s="15">
        <v>15410101</v>
      </c>
      <c r="C475" s="15">
        <v>18010101</v>
      </c>
      <c r="D475" s="15" t="s">
        <v>286</v>
      </c>
      <c r="E475" s="33">
        <f>53+21/60</f>
        <v>53.35</v>
      </c>
      <c r="F475" s="33">
        <f>-6-16/60</f>
        <v>-6.2666666666666666</v>
      </c>
      <c r="G475" s="25" t="s">
        <v>2249</v>
      </c>
      <c r="H475" s="19">
        <f>VLOOKUP( $A475, Sovereignty!$A$2:$L$510, 12, 0 )</f>
        <v>0</v>
      </c>
    </row>
    <row r="476" spans="1:8" x14ac:dyDescent="0.2">
      <c r="A476" s="15" t="s">
        <v>2262</v>
      </c>
      <c r="B476" s="15">
        <v>19181201</v>
      </c>
      <c r="C476" s="15">
        <v>20261231</v>
      </c>
      <c r="D476" s="15" t="s">
        <v>276</v>
      </c>
      <c r="E476" s="33">
        <f>64+8/60</f>
        <v>64.13333333333334</v>
      </c>
      <c r="F476" s="33">
        <f>-21-56/60</f>
        <v>-21.933333333333334</v>
      </c>
      <c r="G476" s="25" t="s">
        <v>2264</v>
      </c>
      <c r="H476" s="19">
        <f>VLOOKUP( $A476, Sovereignty!$A$2:$L$510, 12, 0 )</f>
        <v>0</v>
      </c>
    </row>
    <row r="477" spans="1:8" x14ac:dyDescent="0.2">
      <c r="A477" s="15" t="s">
        <v>2263</v>
      </c>
      <c r="B477" s="15">
        <v>18140114</v>
      </c>
      <c r="C477" s="15">
        <v>19181201</v>
      </c>
      <c r="D477" s="15" t="s">
        <v>276</v>
      </c>
      <c r="E477" s="33">
        <f>64+8/60</f>
        <v>64.13333333333334</v>
      </c>
      <c r="F477" s="33">
        <f>-21-56/60</f>
        <v>-21.933333333333334</v>
      </c>
      <c r="G477" s="25" t="s">
        <v>2264</v>
      </c>
      <c r="H477" s="19">
        <f>VLOOKUP( $A477, Sovereignty!$A$2:$L$510, 12, 0 )</f>
        <v>0</v>
      </c>
    </row>
    <row r="478" spans="1:8" x14ac:dyDescent="0.2">
      <c r="A478" s="15" t="s">
        <v>2030</v>
      </c>
      <c r="B478" s="15">
        <v>19730710</v>
      </c>
      <c r="C478" s="15">
        <v>20261231</v>
      </c>
      <c r="D478" s="15" t="s">
        <v>282</v>
      </c>
      <c r="E478" s="33">
        <f>25+4/60+41/3600</f>
        <v>25.078055555555554</v>
      </c>
      <c r="F478" s="33">
        <f>-77-20/60-19/3600</f>
        <v>-77.338611111111106</v>
      </c>
      <c r="G478" s="25" t="s">
        <v>2031</v>
      </c>
      <c r="H478" s="19">
        <f>VLOOKUP( $A478, Sovereignty!$A$2:$L$510, 12, 0 )</f>
        <v>0</v>
      </c>
    </row>
    <row r="479" spans="1:8" x14ac:dyDescent="0.2">
      <c r="A479" s="15" t="s">
        <v>2029</v>
      </c>
      <c r="B479" s="15">
        <v>17180101</v>
      </c>
      <c r="C479" s="15">
        <v>19730710</v>
      </c>
      <c r="D479" s="15" t="s">
        <v>282</v>
      </c>
      <c r="E479" s="33">
        <f>25+4/60+41/3600</f>
        <v>25.078055555555554</v>
      </c>
      <c r="F479" s="33">
        <f>-77-20/60-19/3600</f>
        <v>-77.338611111111106</v>
      </c>
      <c r="G479" s="25" t="s">
        <v>2031</v>
      </c>
      <c r="H479" s="19">
        <f>VLOOKUP( $A479, Sovereignty!$A$2:$L$510, 12, 0 )</f>
        <v>0</v>
      </c>
    </row>
    <row r="480" spans="1:8" x14ac:dyDescent="0.2">
      <c r="A480" s="15" t="s">
        <v>1000</v>
      </c>
      <c r="B480" s="15">
        <v>19661130</v>
      </c>
      <c r="C480" s="15">
        <v>20261231</v>
      </c>
      <c r="D480" s="15" t="s">
        <v>204</v>
      </c>
      <c r="E480" s="33">
        <f>13+5/60+52/3600</f>
        <v>13.097777777777779</v>
      </c>
      <c r="F480" s="33">
        <f>-59-37/60-6/3600</f>
        <v>-59.618333333333332</v>
      </c>
      <c r="G480" s="25" t="s">
        <v>2032</v>
      </c>
      <c r="H480" s="19">
        <f>VLOOKUP( $A480, Sovereignty!$A$2:$L$510, 12, 0 )</f>
        <v>0</v>
      </c>
    </row>
    <row r="481" spans="1:8" x14ac:dyDescent="0.2">
      <c r="A481" s="15" t="s">
        <v>2033</v>
      </c>
      <c r="B481" s="15">
        <v>16270217</v>
      </c>
      <c r="C481" s="15">
        <v>19661130</v>
      </c>
      <c r="D481" s="15" t="s">
        <v>204</v>
      </c>
      <c r="E481" s="33">
        <f>13+5/60+52/3600</f>
        <v>13.097777777777779</v>
      </c>
      <c r="F481" s="33">
        <f>-59-37/60-6/3600</f>
        <v>-59.618333333333332</v>
      </c>
      <c r="G481" s="25" t="s">
        <v>2032</v>
      </c>
      <c r="H481" s="19">
        <f>VLOOKUP( $A481, Sovereignty!$A$2:$L$510, 12, 0 )</f>
        <v>0</v>
      </c>
    </row>
    <row r="482" spans="1:8" x14ac:dyDescent="0.2">
      <c r="A482" s="15" t="s">
        <v>853</v>
      </c>
      <c r="B482" s="15">
        <v>19860101</v>
      </c>
      <c r="C482" s="15">
        <v>20261231</v>
      </c>
      <c r="D482" s="15" t="s">
        <v>852</v>
      </c>
      <c r="E482" s="33">
        <f>12+31/60+7/3600</f>
        <v>12.518611111111111</v>
      </c>
      <c r="F482" s="33">
        <f>-70-2/60-9/3600</f>
        <v>-70.035833333333329</v>
      </c>
      <c r="G482" s="25" t="s">
        <v>2036</v>
      </c>
      <c r="H482" s="19">
        <f>VLOOKUP( $A482, Sovereignty!$A$2:$L$510, 12, 0 )</f>
        <v>0</v>
      </c>
    </row>
    <row r="483" spans="1:8" x14ac:dyDescent="0.2">
      <c r="A483" s="15" t="s">
        <v>862</v>
      </c>
      <c r="B483" s="15">
        <v>20101010</v>
      </c>
      <c r="C483" s="15">
        <v>20261231</v>
      </c>
      <c r="D483" s="15" t="s">
        <v>863</v>
      </c>
      <c r="E483" s="33">
        <f>12+8/60+40/3600</f>
        <v>12.144444444444444</v>
      </c>
      <c r="F483" s="33">
        <f>-68-15/60-56/3600</f>
        <v>-68.265555555555551</v>
      </c>
      <c r="G483" s="25" t="s">
        <v>2038</v>
      </c>
      <c r="H483" s="19">
        <f>VLOOKUP( $A483, Sovereignty!$A$2:$L$510, 12, 0 )</f>
        <v>0</v>
      </c>
    </row>
    <row r="484" spans="1:8" x14ac:dyDescent="0.2">
      <c r="A484" s="15" t="s">
        <v>861</v>
      </c>
      <c r="B484" s="15">
        <v>20101010</v>
      </c>
      <c r="C484" s="15">
        <v>20261231</v>
      </c>
      <c r="D484" s="15" t="s">
        <v>855</v>
      </c>
      <c r="E484" s="33">
        <f>12+7/60</f>
        <v>12.116666666666667</v>
      </c>
      <c r="F484" s="33">
        <f>-68-56/60</f>
        <v>-68.933333333333337</v>
      </c>
      <c r="G484" s="25" t="s">
        <v>2035</v>
      </c>
      <c r="H484" s="19">
        <f>VLOOKUP( $A484, Sovereignty!$A$2:$L$510, 12, 0 )</f>
        <v>0</v>
      </c>
    </row>
    <row r="485" spans="1:8" x14ac:dyDescent="0.2">
      <c r="A485" s="15" t="s">
        <v>1016</v>
      </c>
      <c r="B485" s="15">
        <v>19620831</v>
      </c>
      <c r="C485" s="15">
        <v>20261231</v>
      </c>
      <c r="D485" s="15" t="s">
        <v>380</v>
      </c>
      <c r="E485" s="33">
        <f>10.667</f>
        <v>10.667</v>
      </c>
      <c r="F485" s="33">
        <f>-61.5075</f>
        <v>-61.5075</v>
      </c>
      <c r="G485" s="25" t="s">
        <v>2042</v>
      </c>
      <c r="H485" s="19">
        <f>VLOOKUP( $A485, Sovereignty!$A$2:$L$510, 12, 0 )</f>
        <v>0</v>
      </c>
    </row>
    <row r="486" spans="1:8" x14ac:dyDescent="0.2">
      <c r="A486" s="15" t="s">
        <v>2041</v>
      </c>
      <c r="B486" s="15">
        <v>18140530</v>
      </c>
      <c r="C486" s="15">
        <v>19620831</v>
      </c>
      <c r="D486" s="15" t="s">
        <v>380</v>
      </c>
      <c r="E486" s="33">
        <f>10.667</f>
        <v>10.667</v>
      </c>
      <c r="F486" s="33">
        <f>-61.5075</f>
        <v>-61.5075</v>
      </c>
      <c r="G486" s="25" t="s">
        <v>2042</v>
      </c>
      <c r="H486" s="19">
        <f>VLOOKUP( $A486, Sovereignty!$A$2:$L$510, 12, 0 )</f>
        <v>0</v>
      </c>
    </row>
    <row r="487" spans="1:8" x14ac:dyDescent="0.2">
      <c r="A487" s="15" t="s">
        <v>1002</v>
      </c>
      <c r="B487" s="15">
        <v>19740207</v>
      </c>
      <c r="C487" s="15">
        <v>20261231</v>
      </c>
      <c r="D487" s="15" t="s">
        <v>264</v>
      </c>
      <c r="E487" s="33">
        <f>12+3/60+14/3600</f>
        <v>12.05388888888889</v>
      </c>
      <c r="F487" s="33">
        <f>-61-44/60-43/3600</f>
        <v>-61.74527777777778</v>
      </c>
      <c r="G487" s="25" t="s">
        <v>2044</v>
      </c>
      <c r="H487" s="19">
        <f>VLOOKUP( $A487, Sovereignty!$A$2:$L$510, 12, 0 )</f>
        <v>0</v>
      </c>
    </row>
    <row r="488" spans="1:8" x14ac:dyDescent="0.2">
      <c r="A488" s="15" t="s">
        <v>2047</v>
      </c>
      <c r="B488" s="15">
        <v>17830903</v>
      </c>
      <c r="C488" s="15">
        <v>19740207</v>
      </c>
      <c r="D488" s="15" t="s">
        <v>264</v>
      </c>
      <c r="E488" s="33">
        <f t="shared" ref="E488:E491" si="67">12+3/60+14/3600</f>
        <v>12.05388888888889</v>
      </c>
      <c r="F488" s="33">
        <f t="shared" ref="F488:F491" si="68">-61-44/60-43/3600</f>
        <v>-61.74527777777778</v>
      </c>
      <c r="G488" s="25" t="s">
        <v>2044</v>
      </c>
      <c r="H488" s="19">
        <f>VLOOKUP( $A488, Sovereignty!$A$2:$L$510, 12, 0 )</f>
        <v>0</v>
      </c>
    </row>
    <row r="489" spans="1:8" x14ac:dyDescent="0.2">
      <c r="A489" s="15" t="s">
        <v>2046</v>
      </c>
      <c r="B489" s="15">
        <v>17790701</v>
      </c>
      <c r="C489" s="15">
        <v>17830903</v>
      </c>
      <c r="D489" s="15" t="s">
        <v>264</v>
      </c>
      <c r="E489" s="33">
        <f t="shared" si="67"/>
        <v>12.05388888888889</v>
      </c>
      <c r="F489" s="33">
        <f t="shared" si="68"/>
        <v>-61.74527777777778</v>
      </c>
      <c r="G489" s="25" t="s">
        <v>2044</v>
      </c>
      <c r="H489" s="19">
        <f>VLOOKUP( $A489, Sovereignty!$A$2:$L$510, 12, 0 )</f>
        <v>0</v>
      </c>
    </row>
    <row r="490" spans="1:8" x14ac:dyDescent="0.2">
      <c r="A490" s="15" t="s">
        <v>2049</v>
      </c>
      <c r="B490" s="15">
        <v>17630210</v>
      </c>
      <c r="C490" s="15">
        <v>17790701</v>
      </c>
      <c r="D490" s="15" t="s">
        <v>264</v>
      </c>
      <c r="E490" s="33">
        <f t="shared" si="67"/>
        <v>12.05388888888889</v>
      </c>
      <c r="F490" s="33">
        <f t="shared" si="68"/>
        <v>-61.74527777777778</v>
      </c>
      <c r="G490" s="25" t="s">
        <v>2044</v>
      </c>
      <c r="H490" s="19">
        <f>VLOOKUP( $A490, Sovereignty!$A$2:$L$510, 12, 0 )</f>
        <v>0</v>
      </c>
    </row>
    <row r="491" spans="1:8" x14ac:dyDescent="0.2">
      <c r="A491" s="15" t="s">
        <v>2045</v>
      </c>
      <c r="B491" s="15">
        <v>16490101</v>
      </c>
      <c r="C491" s="15">
        <v>17630210</v>
      </c>
      <c r="D491" s="15" t="s">
        <v>264</v>
      </c>
      <c r="E491" s="33">
        <f t="shared" si="67"/>
        <v>12.05388888888889</v>
      </c>
      <c r="F491" s="33">
        <f t="shared" si="68"/>
        <v>-61.74527777777778</v>
      </c>
      <c r="G491" s="25" t="s">
        <v>2044</v>
      </c>
      <c r="H491" s="19">
        <f>VLOOKUP( $A491, Sovereignty!$A$2:$L$510, 12, 0 )</f>
        <v>0</v>
      </c>
    </row>
    <row r="492" spans="1:8" x14ac:dyDescent="0.2">
      <c r="A492" s="15" t="s">
        <v>1009</v>
      </c>
      <c r="B492" s="15">
        <v>19791027</v>
      </c>
      <c r="C492" s="15">
        <v>20261231</v>
      </c>
      <c r="D492" s="15" t="s">
        <v>351</v>
      </c>
      <c r="E492" s="33">
        <f>13+10/60</f>
        <v>13.166666666666666</v>
      </c>
      <c r="F492" s="33">
        <f>-61-14/60</f>
        <v>-61.233333333333334</v>
      </c>
      <c r="G492" s="25" t="s">
        <v>2054</v>
      </c>
      <c r="H492" s="19">
        <f>VLOOKUP( $A492, Sovereignty!$A$2:$L$510, 12, 0 )</f>
        <v>0</v>
      </c>
    </row>
    <row r="493" spans="1:8" x14ac:dyDescent="0.2">
      <c r="A493" s="15" t="s">
        <v>2053</v>
      </c>
      <c r="B493" s="15">
        <v>17830903</v>
      </c>
      <c r="C493" s="15">
        <v>19791027</v>
      </c>
      <c r="D493" s="15" t="s">
        <v>351</v>
      </c>
      <c r="E493" s="33">
        <f t="shared" ref="E493:E496" si="69">13+10/60</f>
        <v>13.166666666666666</v>
      </c>
      <c r="F493" s="33">
        <f t="shared" ref="F493:F496" si="70">-61-14/60</f>
        <v>-61.233333333333334</v>
      </c>
      <c r="G493" s="25" t="s">
        <v>2054</v>
      </c>
      <c r="H493" s="19">
        <f>VLOOKUP( $A493, Sovereignty!$A$2:$L$510, 12, 0 )</f>
        <v>0</v>
      </c>
    </row>
    <row r="494" spans="1:8" x14ac:dyDescent="0.2">
      <c r="A494" s="15" t="s">
        <v>2052</v>
      </c>
      <c r="B494" s="15">
        <v>17790701</v>
      </c>
      <c r="C494" s="15">
        <v>17830903</v>
      </c>
      <c r="D494" s="15" t="s">
        <v>351</v>
      </c>
      <c r="E494" s="33">
        <f t="shared" si="69"/>
        <v>13.166666666666666</v>
      </c>
      <c r="F494" s="33">
        <f t="shared" si="70"/>
        <v>-61.233333333333334</v>
      </c>
      <c r="G494" s="25" t="s">
        <v>2054</v>
      </c>
      <c r="H494" s="19">
        <f>VLOOKUP( $A494, Sovereignty!$A$2:$L$510, 12, 0 )</f>
        <v>0</v>
      </c>
    </row>
    <row r="495" spans="1:8" x14ac:dyDescent="0.2">
      <c r="A495" s="15" t="s">
        <v>2051</v>
      </c>
      <c r="B495" s="15">
        <v>17630210</v>
      </c>
      <c r="C495" s="15">
        <v>17790701</v>
      </c>
      <c r="D495" s="15" t="s">
        <v>351</v>
      </c>
      <c r="E495" s="33">
        <f t="shared" si="69"/>
        <v>13.166666666666666</v>
      </c>
      <c r="F495" s="33">
        <f t="shared" si="70"/>
        <v>-61.233333333333334</v>
      </c>
      <c r="G495" s="25" t="s">
        <v>2054</v>
      </c>
      <c r="H495" s="19">
        <f>VLOOKUP( $A495, Sovereignty!$A$2:$L$510, 12, 0 )</f>
        <v>0</v>
      </c>
    </row>
    <row r="496" spans="1:8" x14ac:dyDescent="0.2">
      <c r="A496" s="15" t="s">
        <v>2050</v>
      </c>
      <c r="B496" s="15">
        <v>17190101</v>
      </c>
      <c r="C496" s="15">
        <v>17630210</v>
      </c>
      <c r="D496" s="15" t="s">
        <v>351</v>
      </c>
      <c r="E496" s="33">
        <f t="shared" si="69"/>
        <v>13.166666666666666</v>
      </c>
      <c r="F496" s="33">
        <f t="shared" si="70"/>
        <v>-61.233333333333334</v>
      </c>
      <c r="G496" s="25" t="s">
        <v>2054</v>
      </c>
      <c r="H496" s="19">
        <f>VLOOKUP( $A496, Sovereignty!$A$2:$L$510, 12, 0 )</f>
        <v>0</v>
      </c>
    </row>
    <row r="497" spans="1:8" x14ac:dyDescent="0.2">
      <c r="A497" s="15" t="s">
        <v>866</v>
      </c>
      <c r="B497" s="15">
        <v>20101010</v>
      </c>
      <c r="C497" s="15">
        <v>20261231</v>
      </c>
      <c r="D497" s="15" t="s">
        <v>865</v>
      </c>
      <c r="E497" s="33">
        <f>18+1/60+26/3600</f>
        <v>18.023888888888887</v>
      </c>
      <c r="F497" s="33">
        <f>-63-2/60-45/3600</f>
        <v>-63.045833333333334</v>
      </c>
      <c r="G497" s="25" t="s">
        <v>2039</v>
      </c>
      <c r="H497" s="19">
        <f>VLOOKUP( $A497, Sovereignty!$A$2:$L$510, 12, 0 )</f>
        <v>0</v>
      </c>
    </row>
    <row r="498" spans="1:8" x14ac:dyDescent="0.2">
      <c r="A498" s="15" t="s">
        <v>856</v>
      </c>
      <c r="B498" s="15">
        <v>19541210</v>
      </c>
      <c r="C498" s="15">
        <v>20101010</v>
      </c>
      <c r="D498" s="15" t="s">
        <v>855</v>
      </c>
      <c r="E498" s="33">
        <f>12+7/60</f>
        <v>12.116666666666667</v>
      </c>
      <c r="F498" s="33">
        <f>-68-56/60</f>
        <v>-68.933333333333337</v>
      </c>
      <c r="G498" s="25" t="s">
        <v>2035</v>
      </c>
      <c r="H498" s="19">
        <f>VLOOKUP( $A498, Sovereignty!$A$2:$L$510, 12, 0 )</f>
        <v>0</v>
      </c>
    </row>
    <row r="499" spans="1:8" x14ac:dyDescent="0.2">
      <c r="A499" s="15" t="s">
        <v>859</v>
      </c>
      <c r="B499" s="15">
        <v>16340101</v>
      </c>
      <c r="C499" s="15">
        <v>19541210</v>
      </c>
      <c r="D499" s="15" t="s">
        <v>855</v>
      </c>
      <c r="E499" s="33">
        <f>12+7/60</f>
        <v>12.116666666666667</v>
      </c>
      <c r="F499" s="33">
        <f>-68-56/60</f>
        <v>-68.933333333333337</v>
      </c>
      <c r="G499" s="25" t="s">
        <v>2035</v>
      </c>
      <c r="H499" s="19">
        <f>VLOOKUP( $A499, Sovereignty!$A$2:$L$510, 12, 0 )</f>
        <v>0</v>
      </c>
    </row>
    <row r="500" spans="1:8" x14ac:dyDescent="0.2">
      <c r="A500" s="15" t="s">
        <v>1010</v>
      </c>
      <c r="B500" s="15">
        <v>19790222</v>
      </c>
      <c r="C500" s="15">
        <v>20261231</v>
      </c>
      <c r="D500" s="15" t="s">
        <v>350</v>
      </c>
      <c r="E500" s="33">
        <f>13+53/60</f>
        <v>13.883333333333333</v>
      </c>
      <c r="F500" s="33">
        <f>-60-58/60</f>
        <v>-60.966666666666669</v>
      </c>
      <c r="G500" s="25" t="s">
        <v>2059</v>
      </c>
      <c r="H500" s="19">
        <f>VLOOKUP( $A500, Sovereignty!$A$2:$L$510, 12, 0 )</f>
        <v>0</v>
      </c>
    </row>
    <row r="501" spans="1:8" x14ac:dyDescent="0.2">
      <c r="A501" s="15" t="s">
        <v>2058</v>
      </c>
      <c r="B501" s="15">
        <v>18030101</v>
      </c>
      <c r="C501" s="15">
        <v>19790222</v>
      </c>
      <c r="D501" s="15" t="s">
        <v>350</v>
      </c>
      <c r="E501" s="33">
        <f t="shared" ref="E501:E504" si="71">13+53/60</f>
        <v>13.883333333333333</v>
      </c>
      <c r="F501" s="33">
        <f t="shared" ref="F501:F504" si="72">-60-58/60</f>
        <v>-60.966666666666669</v>
      </c>
      <c r="G501" s="25" t="s">
        <v>2059</v>
      </c>
      <c r="H501" s="19">
        <f>VLOOKUP( $A501, Sovereignty!$A$2:$L$510, 12, 0 )</f>
        <v>0</v>
      </c>
    </row>
    <row r="502" spans="1:8" x14ac:dyDescent="0.2">
      <c r="A502" s="15" t="s">
        <v>2057</v>
      </c>
      <c r="B502" s="15">
        <v>17830903</v>
      </c>
      <c r="C502" s="15">
        <v>18030101</v>
      </c>
      <c r="D502" s="15" t="s">
        <v>350</v>
      </c>
      <c r="E502" s="33">
        <f t="shared" si="71"/>
        <v>13.883333333333333</v>
      </c>
      <c r="F502" s="33">
        <f t="shared" si="72"/>
        <v>-60.966666666666669</v>
      </c>
      <c r="G502" s="25" t="s">
        <v>2059</v>
      </c>
      <c r="H502" s="19">
        <f>VLOOKUP( $A502, Sovereignty!$A$2:$L$510, 12, 0 )</f>
        <v>0</v>
      </c>
    </row>
    <row r="503" spans="1:8" x14ac:dyDescent="0.2">
      <c r="A503" s="15" t="s">
        <v>2056</v>
      </c>
      <c r="B503" s="15">
        <v>17630210</v>
      </c>
      <c r="C503" s="15">
        <v>17830903</v>
      </c>
      <c r="D503" s="15" t="s">
        <v>350</v>
      </c>
      <c r="E503" s="33">
        <f t="shared" si="71"/>
        <v>13.883333333333333</v>
      </c>
      <c r="F503" s="33">
        <f t="shared" si="72"/>
        <v>-60.966666666666669</v>
      </c>
      <c r="G503" s="25" t="s">
        <v>2059</v>
      </c>
      <c r="H503" s="19">
        <f>VLOOKUP( $A503, Sovereignty!$A$2:$L$510, 12, 0 )</f>
        <v>0</v>
      </c>
    </row>
    <row r="504" spans="1:8" x14ac:dyDescent="0.2">
      <c r="A504" s="15" t="s">
        <v>2055</v>
      </c>
      <c r="B504" s="15">
        <v>16740101</v>
      </c>
      <c r="C504" s="15">
        <v>17630210</v>
      </c>
      <c r="D504" s="15" t="s">
        <v>350</v>
      </c>
      <c r="E504" s="33">
        <f t="shared" si="71"/>
        <v>13.883333333333333</v>
      </c>
      <c r="F504" s="33">
        <f t="shared" si="72"/>
        <v>-60.966666666666669</v>
      </c>
      <c r="G504" s="25" t="s">
        <v>2059</v>
      </c>
      <c r="H504" s="19">
        <f>VLOOKUP( $A504, Sovereignty!$A$2:$L$510, 12, 0 )</f>
        <v>0</v>
      </c>
    </row>
    <row r="505" spans="1:8" x14ac:dyDescent="0.2">
      <c r="A505" s="15" t="s">
        <v>2376</v>
      </c>
      <c r="B505" s="15">
        <v>16480101</v>
      </c>
      <c r="C505" s="15">
        <v>20261231</v>
      </c>
      <c r="D505" s="15" t="s">
        <v>843</v>
      </c>
      <c r="E505" s="33">
        <f>15+59/60+45/3600</f>
        <v>15.995833333333332</v>
      </c>
      <c r="F505" s="33">
        <f>-61-43/60-45/3600</f>
        <v>-61.729166666666671</v>
      </c>
      <c r="G505" s="25" t="s">
        <v>2060</v>
      </c>
      <c r="H505" s="19">
        <f>VLOOKUP( $A505, Sovereignty!$A$2:$L$510, 12, 0 )</f>
        <v>0</v>
      </c>
    </row>
    <row r="506" spans="1:8" x14ac:dyDescent="0.2">
      <c r="A506" s="15" t="s">
        <v>1004</v>
      </c>
      <c r="B506" s="15">
        <v>19781103</v>
      </c>
      <c r="C506" s="15">
        <v>20261231</v>
      </c>
      <c r="D506" s="15" t="s">
        <v>244</v>
      </c>
      <c r="E506" s="33">
        <f>15+18/60+33/3600</f>
        <v>15.309166666666668</v>
      </c>
      <c r="F506" s="33">
        <f>-61-22/60-45/3600</f>
        <v>-61.37916666666667</v>
      </c>
      <c r="G506" s="25" t="s">
        <v>2063</v>
      </c>
      <c r="H506" s="19">
        <f>VLOOKUP( $A506, Sovereignty!$A$2:$L$510, 12, 0 )</f>
        <v>0</v>
      </c>
    </row>
    <row r="507" spans="1:8" x14ac:dyDescent="0.2">
      <c r="A507" s="15" t="s">
        <v>2062</v>
      </c>
      <c r="B507" s="15">
        <v>17630210</v>
      </c>
      <c r="C507" s="15">
        <v>19781103</v>
      </c>
      <c r="D507" s="15" t="s">
        <v>244</v>
      </c>
      <c r="E507" s="33">
        <f t="shared" ref="E507:E508" si="73">15+18/60+33/3600</f>
        <v>15.309166666666668</v>
      </c>
      <c r="F507" s="33">
        <f t="shared" ref="F507:F508" si="74">-61-22/60-45/3600</f>
        <v>-61.37916666666667</v>
      </c>
      <c r="G507" s="25" t="s">
        <v>2063</v>
      </c>
      <c r="H507" s="19">
        <f>VLOOKUP( $A507, Sovereignty!$A$2:$L$510, 12, 0 )</f>
        <v>0</v>
      </c>
    </row>
    <row r="508" spans="1:8" x14ac:dyDescent="0.2">
      <c r="A508" s="15" t="s">
        <v>2061</v>
      </c>
      <c r="B508" s="15">
        <v>16350101</v>
      </c>
      <c r="C508" s="15">
        <v>17630210</v>
      </c>
      <c r="D508" s="15" t="s">
        <v>244</v>
      </c>
      <c r="E508" s="33">
        <f t="shared" si="73"/>
        <v>15.309166666666668</v>
      </c>
      <c r="F508" s="33">
        <f t="shared" si="74"/>
        <v>-61.37916666666667</v>
      </c>
      <c r="G508" s="25" t="s">
        <v>2063</v>
      </c>
      <c r="H508" s="19">
        <f>VLOOKUP( $A508, Sovereignty!$A$2:$L$510, 12, 0 )</f>
        <v>0</v>
      </c>
    </row>
    <row r="509" spans="1:8" x14ac:dyDescent="0.2">
      <c r="A509" s="15" t="s">
        <v>849</v>
      </c>
      <c r="B509" s="15">
        <v>16350101</v>
      </c>
      <c r="C509" s="15">
        <v>20261231</v>
      </c>
      <c r="D509" s="15" t="s">
        <v>846</v>
      </c>
      <c r="E509" s="33">
        <f>14+36/60</f>
        <v>14.6</v>
      </c>
      <c r="F509" s="33">
        <f>-61-4/60</f>
        <v>-61.06666666666667</v>
      </c>
      <c r="G509" s="25" t="s">
        <v>2065</v>
      </c>
      <c r="H509" s="19">
        <f>VLOOKUP( $A509, Sovereignty!$A$2:$L$510, 12, 0 )</f>
        <v>0</v>
      </c>
    </row>
    <row r="510" spans="1:8" x14ac:dyDescent="0.2">
      <c r="A510" s="15" t="s">
        <v>1001</v>
      </c>
      <c r="B510" s="15">
        <v>19830919</v>
      </c>
      <c r="C510" s="15">
        <v>20261231</v>
      </c>
      <c r="D510" s="15" t="s">
        <v>349</v>
      </c>
      <c r="E510" s="33">
        <f>17+18/60</f>
        <v>17.3</v>
      </c>
      <c r="F510" s="33">
        <f>-62-44/60</f>
        <v>-62.733333333333334</v>
      </c>
      <c r="G510" s="25" t="s">
        <v>2067</v>
      </c>
      <c r="H510" s="19">
        <f>VLOOKUP( $A510, Sovereignty!$A$2:$L$510, 12, 0 )</f>
        <v>0</v>
      </c>
    </row>
    <row r="511" spans="1:8" x14ac:dyDescent="0.2">
      <c r="A511" s="15" t="s">
        <v>2066</v>
      </c>
      <c r="B511" s="15">
        <v>18820616</v>
      </c>
      <c r="C511" s="15">
        <v>19830919</v>
      </c>
      <c r="D511" s="15" t="s">
        <v>349</v>
      </c>
      <c r="E511" s="33">
        <f>17+18/60</f>
        <v>17.3</v>
      </c>
      <c r="F511" s="33">
        <f>-62-44/60</f>
        <v>-62.733333333333334</v>
      </c>
      <c r="G511" s="25" t="s">
        <v>2067</v>
      </c>
      <c r="H511" s="19">
        <f>VLOOKUP( $A511, Sovereignty!$A$2:$L$510, 12, 0 )</f>
        <v>0</v>
      </c>
    </row>
    <row r="512" spans="1:8" x14ac:dyDescent="0.2">
      <c r="A512" s="15" t="s">
        <v>1005</v>
      </c>
      <c r="B512" s="15">
        <v>19811101</v>
      </c>
      <c r="C512" s="15">
        <v>20261231</v>
      </c>
      <c r="D512" s="15" t="s">
        <v>196</v>
      </c>
      <c r="E512" s="33">
        <f>17+7/60</f>
        <v>17.116666666666667</v>
      </c>
      <c r="F512" s="33">
        <f>-61-51/60</f>
        <v>-61.85</v>
      </c>
      <c r="G512" s="25" t="s">
        <v>2070</v>
      </c>
      <c r="H512" s="19">
        <f>VLOOKUP( $A512, Sovereignty!$A$2:$L$510, 12, 0 )</f>
        <v>0</v>
      </c>
    </row>
    <row r="513" spans="1:8" x14ac:dyDescent="0.2">
      <c r="A513" s="15" t="s">
        <v>2073</v>
      </c>
      <c r="B513" s="15">
        <v>16320101</v>
      </c>
      <c r="C513" s="15">
        <v>19811101</v>
      </c>
      <c r="D513" s="15" t="s">
        <v>196</v>
      </c>
      <c r="E513" s="33">
        <f>17+7/60</f>
        <v>17.116666666666667</v>
      </c>
      <c r="F513" s="33">
        <f>-61-51/60</f>
        <v>-61.85</v>
      </c>
      <c r="G513" s="25" t="s">
        <v>2070</v>
      </c>
      <c r="H513" s="19">
        <f>VLOOKUP( $A513, Sovereignty!$A$2:$L$510, 12, 0 )</f>
        <v>0</v>
      </c>
    </row>
    <row r="514" spans="1:8" x14ac:dyDescent="0.2">
      <c r="A514" s="15" t="s">
        <v>2071</v>
      </c>
      <c r="B514" s="15">
        <v>16780101</v>
      </c>
      <c r="C514" s="15">
        <v>19811101</v>
      </c>
      <c r="D514" s="15" t="s">
        <v>2075</v>
      </c>
      <c r="E514" s="33">
        <f>17.64</f>
        <v>17.64</v>
      </c>
      <c r="F514" s="33">
        <f>-61.81</f>
        <v>-61.81</v>
      </c>
      <c r="G514" s="25" t="s">
        <v>2076</v>
      </c>
      <c r="H514" s="19">
        <f>VLOOKUP( $A514, Sovereignty!$A$2:$L$510, 12, 0 )</f>
        <v>0</v>
      </c>
    </row>
    <row r="515" spans="1:8" x14ac:dyDescent="0.2">
      <c r="A515" s="15" t="s">
        <v>2093</v>
      </c>
      <c r="B515" s="15">
        <v>18650715</v>
      </c>
      <c r="C515" s="15">
        <v>20261231</v>
      </c>
      <c r="D515" s="15" t="s">
        <v>245</v>
      </c>
      <c r="E515" s="33">
        <f>18+27/60</f>
        <v>18.45</v>
      </c>
      <c r="F515" s="33">
        <f>-69-56/60</f>
        <v>-69.933333333333337</v>
      </c>
      <c r="G515" s="25" t="s">
        <v>2086</v>
      </c>
      <c r="H515" s="19">
        <f>VLOOKUP( $A515, Sovereignty!$A$2:$L$510, 12, 0 )</f>
        <v>0</v>
      </c>
    </row>
    <row r="516" spans="1:8" x14ac:dyDescent="0.2">
      <c r="A516" s="15" t="s">
        <v>2092</v>
      </c>
      <c r="B516" s="15">
        <v>18610318</v>
      </c>
      <c r="C516" s="15">
        <v>18650715</v>
      </c>
      <c r="D516" s="15" t="s">
        <v>245</v>
      </c>
      <c r="E516" s="33">
        <f t="shared" ref="E516:E520" si="75">18+27/60</f>
        <v>18.45</v>
      </c>
      <c r="F516" s="33">
        <f t="shared" ref="F516:F520" si="76">-69-56/60</f>
        <v>-69.933333333333337</v>
      </c>
      <c r="G516" s="25" t="s">
        <v>2086</v>
      </c>
      <c r="H516" s="19">
        <f>VLOOKUP( $A516, Sovereignty!$A$2:$L$510, 12, 0 )</f>
        <v>0</v>
      </c>
    </row>
    <row r="517" spans="1:8" x14ac:dyDescent="0.2">
      <c r="A517" s="15" t="s">
        <v>1012</v>
      </c>
      <c r="B517" s="15">
        <v>18440227</v>
      </c>
      <c r="C517" s="15">
        <v>18610318</v>
      </c>
      <c r="D517" s="15" t="s">
        <v>245</v>
      </c>
      <c r="E517" s="33">
        <f t="shared" si="75"/>
        <v>18.45</v>
      </c>
      <c r="F517" s="33">
        <f t="shared" si="76"/>
        <v>-69.933333333333337</v>
      </c>
      <c r="G517" s="25" t="s">
        <v>2086</v>
      </c>
      <c r="H517" s="19">
        <f>VLOOKUP( $A517, Sovereignty!$A$2:$L$510, 12, 0 )</f>
        <v>0</v>
      </c>
    </row>
    <row r="518" spans="1:8" x14ac:dyDescent="0.2">
      <c r="A518" s="15" t="s">
        <v>2090</v>
      </c>
      <c r="B518" s="15">
        <v>18090709</v>
      </c>
      <c r="C518" s="15">
        <v>18220209</v>
      </c>
      <c r="D518" s="15" t="s">
        <v>245</v>
      </c>
      <c r="E518" s="33">
        <f t="shared" si="75"/>
        <v>18.45</v>
      </c>
      <c r="F518" s="33">
        <f t="shared" si="76"/>
        <v>-69.933333333333337</v>
      </c>
      <c r="G518" s="25" t="s">
        <v>2086</v>
      </c>
      <c r="H518" s="19">
        <f>VLOOKUP( $A518, Sovereignty!$A$2:$L$510, 12, 0 )</f>
        <v>0</v>
      </c>
    </row>
    <row r="519" spans="1:8" x14ac:dyDescent="0.2">
      <c r="A519" s="15" t="s">
        <v>2089</v>
      </c>
      <c r="B519" s="15">
        <v>17950722</v>
      </c>
      <c r="C519" s="15">
        <v>18090709</v>
      </c>
      <c r="D519" s="15" t="s">
        <v>245</v>
      </c>
      <c r="E519" s="33">
        <f t="shared" si="75"/>
        <v>18.45</v>
      </c>
      <c r="F519" s="33">
        <f t="shared" si="76"/>
        <v>-69.933333333333337</v>
      </c>
      <c r="G519" s="25" t="s">
        <v>2086</v>
      </c>
      <c r="H519" s="19">
        <f>VLOOKUP( $A519, Sovereignty!$A$2:$L$510, 12, 0 )</f>
        <v>0</v>
      </c>
    </row>
    <row r="520" spans="1:8" x14ac:dyDescent="0.2">
      <c r="A520" s="15" t="s">
        <v>2087</v>
      </c>
      <c r="B520" s="15">
        <v>14921205</v>
      </c>
      <c r="C520" s="15">
        <v>17950722</v>
      </c>
      <c r="D520" s="15" t="s">
        <v>245</v>
      </c>
      <c r="E520" s="33">
        <f t="shared" si="75"/>
        <v>18.45</v>
      </c>
      <c r="F520" s="33">
        <f t="shared" si="76"/>
        <v>-69.933333333333337</v>
      </c>
      <c r="G520" s="25" t="s">
        <v>2086</v>
      </c>
      <c r="H520" s="19">
        <f>VLOOKUP( $A520, Sovereignty!$A$2:$L$510, 12, 0 )</f>
        <v>0</v>
      </c>
    </row>
    <row r="521" spans="1:8" x14ac:dyDescent="0.2">
      <c r="A521" s="15" t="s">
        <v>2077</v>
      </c>
      <c r="B521" s="15">
        <v>16120101</v>
      </c>
      <c r="C521" s="15">
        <v>20261231</v>
      </c>
      <c r="D521" s="15" t="s">
        <v>870</v>
      </c>
      <c r="E521" s="33">
        <f>32+17/60+46/3600</f>
        <v>32.296111111111109</v>
      </c>
      <c r="F521" s="33">
        <f>-64-46/60-58/3600</f>
        <v>-64.782777777777781</v>
      </c>
      <c r="G521" s="25" t="s">
        <v>2078</v>
      </c>
      <c r="H521" s="19">
        <f>VLOOKUP( $A521, Sovereignty!$A$2:$L$510, 12, 0 )</f>
        <v>0</v>
      </c>
    </row>
    <row r="522" spans="1:8" x14ac:dyDescent="0.2">
      <c r="A522" s="15" t="s">
        <v>871</v>
      </c>
      <c r="B522" s="15">
        <v>16700101</v>
      </c>
      <c r="C522" s="15">
        <v>20261231</v>
      </c>
      <c r="D522" s="15" t="s">
        <v>665</v>
      </c>
      <c r="E522" s="33">
        <f>19.32</f>
        <v>19.32</v>
      </c>
      <c r="F522" s="33">
        <f>-81.229</f>
        <v>-81.228999999999999</v>
      </c>
      <c r="G522" s="25" t="s">
        <v>2079</v>
      </c>
      <c r="H522" s="19">
        <f>VLOOKUP( $A522, Sovereignty!$A$2:$L$510, 12, 0 )</f>
        <v>0</v>
      </c>
    </row>
    <row r="523" spans="1:8" x14ac:dyDescent="0.2">
      <c r="A523" s="15" t="s">
        <v>2080</v>
      </c>
      <c r="B523" s="15">
        <v>17830903</v>
      </c>
      <c r="C523" s="15">
        <v>20261231</v>
      </c>
      <c r="D523" s="15" t="s">
        <v>873</v>
      </c>
      <c r="E523" s="33">
        <f>21.459</f>
        <v>21.459</v>
      </c>
      <c r="F523" s="33">
        <f>-71.139</f>
        <v>-71.138999999999996</v>
      </c>
      <c r="G523" s="25" t="s">
        <v>2081</v>
      </c>
      <c r="H523" s="19">
        <f>VLOOKUP( $A523, Sovereignty!$A$2:$L$510, 12, 0 )</f>
        <v>0</v>
      </c>
    </row>
    <row r="524" spans="1:8" x14ac:dyDescent="0.2">
      <c r="A524" s="15" t="s">
        <v>889</v>
      </c>
      <c r="B524" s="15">
        <v>16720101</v>
      </c>
      <c r="C524" s="15">
        <v>20261231</v>
      </c>
      <c r="D524" s="15" t="s">
        <v>888</v>
      </c>
      <c r="E524" s="33">
        <f>18+25/60+53/3600</f>
        <v>18.43138888888889</v>
      </c>
      <c r="F524" s="33">
        <f>-64-37/60-23/3600</f>
        <v>-64.623055555555553</v>
      </c>
      <c r="G524" s="25" t="s">
        <v>2082</v>
      </c>
      <c r="H524" s="19">
        <f>VLOOKUP( $A524, Sovereignty!$A$2:$L$510, 12, 0 )</f>
        <v>0</v>
      </c>
    </row>
    <row r="525" spans="1:8" x14ac:dyDescent="0.2">
      <c r="A525" s="15" t="s">
        <v>2084</v>
      </c>
      <c r="B525" s="15">
        <v>16670101</v>
      </c>
      <c r="C525" s="15">
        <v>20261231</v>
      </c>
      <c r="D525" s="15" t="s">
        <v>890</v>
      </c>
      <c r="E525" s="33">
        <f>18+13/60+15/3600</f>
        <v>18.220833333333331</v>
      </c>
      <c r="F525" s="33">
        <f>-63-3/60-6/3600</f>
        <v>-63.051666666666662</v>
      </c>
      <c r="G525" s="25" t="s">
        <v>2085</v>
      </c>
      <c r="H525" s="19">
        <f>VLOOKUP( $A525, Sovereignty!$A$2:$L$510, 12, 0 )</f>
        <v>0</v>
      </c>
    </row>
    <row r="526" spans="1:8" x14ac:dyDescent="0.2">
      <c r="A526" s="15" t="s">
        <v>2097</v>
      </c>
      <c r="B526" s="15">
        <v>18040101</v>
      </c>
      <c r="C526" s="15">
        <v>20261231</v>
      </c>
      <c r="D526" s="15" t="s">
        <v>273</v>
      </c>
      <c r="E526" s="33">
        <f>18+32/60+10/3600</f>
        <v>18.536111111111111</v>
      </c>
      <c r="F526" s="33">
        <f>-72-20/60-47/3600</f>
        <v>-72.346388888888882</v>
      </c>
      <c r="G526" s="25" t="s">
        <v>2095</v>
      </c>
      <c r="H526" s="19">
        <f>VLOOKUP( $A526, Sovereignty!$A$2:$L$510, 12, 0 )</f>
        <v>0</v>
      </c>
    </row>
    <row r="527" spans="1:8" x14ac:dyDescent="0.2">
      <c r="A527" s="15" t="s">
        <v>2098</v>
      </c>
      <c r="B527" s="15">
        <v>17710101</v>
      </c>
      <c r="C527" s="15">
        <v>18040101</v>
      </c>
      <c r="D527" s="15" t="s">
        <v>273</v>
      </c>
      <c r="E527" s="33">
        <f>18+32/60+10/3600</f>
        <v>18.536111111111111</v>
      </c>
      <c r="F527" s="33">
        <f>-72-20/60-47/3600</f>
        <v>-72.346388888888882</v>
      </c>
      <c r="G527" s="25" t="s">
        <v>2095</v>
      </c>
      <c r="H527" s="19">
        <f>VLOOKUP( $A527, Sovereignty!$A$2:$L$510, 12, 0 )</f>
        <v>0</v>
      </c>
    </row>
    <row r="528" spans="1:8" x14ac:dyDescent="0.2">
      <c r="A528" s="15" t="s">
        <v>2098</v>
      </c>
      <c r="B528" s="15">
        <v>16970101</v>
      </c>
      <c r="C528" s="15">
        <v>17710101</v>
      </c>
      <c r="D528" s="15" t="s">
        <v>2100</v>
      </c>
      <c r="E528" s="33">
        <f>19+45/60+36/3600</f>
        <v>19.760000000000002</v>
      </c>
      <c r="F528" s="33">
        <f>-72-12/60</f>
        <v>-72.2</v>
      </c>
      <c r="G528" s="25" t="s">
        <v>2101</v>
      </c>
      <c r="H528" s="19">
        <f>VLOOKUP( $A528, Sovereignty!$A$2:$L$510, 12, 0 )</f>
        <v>0</v>
      </c>
    </row>
    <row r="529" spans="1:8" x14ac:dyDescent="0.2">
      <c r="A529" s="15" t="s">
        <v>1006</v>
      </c>
      <c r="B529" s="15">
        <v>19020520</v>
      </c>
      <c r="C529" s="15">
        <v>20261231</v>
      </c>
      <c r="D529" s="15" t="s">
        <v>237</v>
      </c>
      <c r="E529" s="33">
        <f>23+8/60+12/3600</f>
        <v>23.136666666666667</v>
      </c>
      <c r="F529" s="33">
        <f>-82-21/60-32/3600</f>
        <v>-82.358888888888885</v>
      </c>
      <c r="G529" s="25" t="s">
        <v>2106</v>
      </c>
      <c r="H529" s="19">
        <f>VLOOKUP( $A529, Sovereignty!$A$2:$L$510, 12, 0 )</f>
        <v>0</v>
      </c>
    </row>
    <row r="530" spans="1:8" x14ac:dyDescent="0.2">
      <c r="A530" s="15" t="s">
        <v>2103</v>
      </c>
      <c r="B530" s="15">
        <v>18981210</v>
      </c>
      <c r="C530" s="15">
        <v>19020520</v>
      </c>
      <c r="D530" s="15" t="s">
        <v>237</v>
      </c>
      <c r="E530" s="33">
        <f t="shared" ref="E530:E531" si="77">23+8/60+12/3600</f>
        <v>23.136666666666667</v>
      </c>
      <c r="F530" s="33">
        <f t="shared" ref="F530:F531" si="78">-82-21/60-32/3600</f>
        <v>-82.358888888888885</v>
      </c>
      <c r="G530" s="25" t="s">
        <v>2106</v>
      </c>
      <c r="H530" s="19">
        <f>VLOOKUP( $A530, Sovereignty!$A$2:$L$510, 12, 0 )</f>
        <v>0</v>
      </c>
    </row>
    <row r="531" spans="1:8" x14ac:dyDescent="0.2">
      <c r="A531" s="15" t="s">
        <v>2104</v>
      </c>
      <c r="B531" s="15">
        <v>16070101</v>
      </c>
      <c r="C531" s="15">
        <v>18981210</v>
      </c>
      <c r="D531" s="15" t="s">
        <v>237</v>
      </c>
      <c r="E531" s="33">
        <f t="shared" si="77"/>
        <v>23.136666666666667</v>
      </c>
      <c r="F531" s="33">
        <f t="shared" si="78"/>
        <v>-82.358888888888885</v>
      </c>
      <c r="G531" s="25" t="s">
        <v>2106</v>
      </c>
      <c r="H531" s="19">
        <f>VLOOKUP( $A531, Sovereignty!$A$2:$L$510, 12, 0 )</f>
        <v>0</v>
      </c>
    </row>
    <row r="532" spans="1:8" x14ac:dyDescent="0.2">
      <c r="A532" s="15" t="s">
        <v>1003</v>
      </c>
      <c r="B532" s="15">
        <v>19620806</v>
      </c>
      <c r="C532" s="15">
        <v>20261231</v>
      </c>
      <c r="D532" s="15" t="s">
        <v>289</v>
      </c>
      <c r="E532" s="33">
        <f>17+58/60+17/3600</f>
        <v>17.971388888888889</v>
      </c>
      <c r="F532" s="33">
        <f>-76-47/60-35/3600</f>
        <v>-76.793055555555554</v>
      </c>
      <c r="G532" s="25" t="s">
        <v>2113</v>
      </c>
      <c r="H532" s="19">
        <f>VLOOKUP( $A532, Sovereignty!$A$2:$L$510, 12, 0 )</f>
        <v>0</v>
      </c>
    </row>
    <row r="533" spans="1:8" x14ac:dyDescent="0.2">
      <c r="A533" s="15" t="s">
        <v>2114</v>
      </c>
      <c r="B533" s="15">
        <v>18720101</v>
      </c>
      <c r="C533" s="15">
        <v>19620806</v>
      </c>
      <c r="D533" s="15" t="s">
        <v>289</v>
      </c>
      <c r="E533" s="33">
        <f t="shared" ref="E533" si="79">17+58/60+17/3600</f>
        <v>17.971388888888889</v>
      </c>
      <c r="F533" s="33">
        <f t="shared" ref="F533" si="80">-76-47/60-35/3600</f>
        <v>-76.793055555555554</v>
      </c>
      <c r="G533" s="25" t="s">
        <v>2113</v>
      </c>
      <c r="H533" s="19">
        <f>VLOOKUP( $A533, Sovereignty!$A$2:$L$510, 12, 0 )</f>
        <v>0</v>
      </c>
    </row>
    <row r="534" spans="1:8" x14ac:dyDescent="0.2">
      <c r="A534" s="15" t="s">
        <v>2114</v>
      </c>
      <c r="B534" s="15">
        <v>16550510</v>
      </c>
      <c r="C534" s="15">
        <v>18720101</v>
      </c>
      <c r="D534" s="15" t="s">
        <v>2116</v>
      </c>
      <c r="E534" s="33">
        <f>17.9968766</f>
        <v>17.9968766</v>
      </c>
      <c r="F534" s="33">
        <f>-76.9551086</f>
        <v>-76.955108600000003</v>
      </c>
      <c r="G534" s="25" t="s">
        <v>2117</v>
      </c>
      <c r="H534" s="19">
        <f>VLOOKUP( $A534, Sovereignty!$A$2:$L$510, 12, 0 )</f>
        <v>0</v>
      </c>
    </row>
    <row r="535" spans="1:8" x14ac:dyDescent="0.2">
      <c r="A535" s="15" t="s">
        <v>2115</v>
      </c>
      <c r="B535" s="15">
        <v>15090101</v>
      </c>
      <c r="C535" s="15">
        <v>16550510</v>
      </c>
      <c r="D535" s="15" t="s">
        <v>2116</v>
      </c>
      <c r="E535" s="33">
        <f>17.9968766</f>
        <v>17.9968766</v>
      </c>
      <c r="F535" s="33">
        <f>-76.9551086</f>
        <v>-76.955108600000003</v>
      </c>
      <c r="G535" s="25" t="s">
        <v>2117</v>
      </c>
      <c r="H535" s="19">
        <f>VLOOKUP( $A535, Sovereignty!$A$2:$L$510, 12, 0 )</f>
        <v>0</v>
      </c>
    </row>
    <row r="536" spans="1:8" x14ac:dyDescent="0.2">
      <c r="A536" s="15" t="s">
        <v>1011</v>
      </c>
      <c r="B536" s="15">
        <v>19031103</v>
      </c>
      <c r="C536" s="15">
        <v>20261231</v>
      </c>
      <c r="D536" s="15" t="s">
        <v>337</v>
      </c>
      <c r="E536" s="33">
        <f>8+58/60</f>
        <v>8.9666666666666668</v>
      </c>
      <c r="F536" s="33">
        <f>-79-32/60</f>
        <v>-79.533333333333331</v>
      </c>
      <c r="G536" s="25" t="s">
        <v>2123</v>
      </c>
      <c r="H536" s="19">
        <f>VLOOKUP( $A536, Sovereignty!$A$2:$L$510, 12, 0 )</f>
        <v>0</v>
      </c>
    </row>
    <row r="537" spans="1:8" x14ac:dyDescent="0.2">
      <c r="A537" s="15" t="s">
        <v>1020</v>
      </c>
      <c r="B537" s="15">
        <v>18381114</v>
      </c>
      <c r="C537" s="15">
        <v>20261231</v>
      </c>
      <c r="D537" s="15" t="s">
        <v>233</v>
      </c>
      <c r="E537" s="33">
        <f>9+56/60</f>
        <v>9.9333333333333336</v>
      </c>
      <c r="F537" s="33">
        <f>-84-5/60</f>
        <v>-84.083333333333329</v>
      </c>
      <c r="G537" s="25" t="s">
        <v>2125</v>
      </c>
      <c r="H537" s="19">
        <f>VLOOKUP( $A537, Sovereignty!$A$2:$L$510, 12, 0 )</f>
        <v>0</v>
      </c>
    </row>
    <row r="538" spans="1:8" x14ac:dyDescent="0.2">
      <c r="A538" s="15" t="s">
        <v>2126</v>
      </c>
      <c r="B538" s="15">
        <v>18340101</v>
      </c>
      <c r="C538" s="15">
        <v>18410130</v>
      </c>
      <c r="D538" s="15" t="s">
        <v>249</v>
      </c>
      <c r="E538" s="33">
        <f>13+41/60+56/3600</f>
        <v>13.69888888888889</v>
      </c>
      <c r="F538" s="33">
        <f>-89-11/60-29/3600</f>
        <v>-89.191388888888895</v>
      </c>
      <c r="G538" s="25" t="s">
        <v>2129</v>
      </c>
      <c r="H538" s="19">
        <f>VLOOKUP( $A538, Sovereignty!$A$2:$L$510, 12, 0 )</f>
        <v>0</v>
      </c>
    </row>
    <row r="539" spans="1:8" x14ac:dyDescent="0.2">
      <c r="A539" s="15" t="s">
        <v>2126</v>
      </c>
      <c r="B539" s="15">
        <v>18230701</v>
      </c>
      <c r="C539" s="15">
        <v>18340101</v>
      </c>
      <c r="D539" s="15" t="s">
        <v>265</v>
      </c>
      <c r="E539" s="33">
        <f>14+38/60+30/3600</f>
        <v>14.641666666666666</v>
      </c>
      <c r="F539" s="33">
        <f>-90-30/60-48/3600</f>
        <v>-90.513333333333335</v>
      </c>
      <c r="G539" s="25" t="s">
        <v>2128</v>
      </c>
      <c r="H539" s="19">
        <f>VLOOKUP( $A539, Sovereignty!$A$2:$L$510, 12, 0 )</f>
        <v>0</v>
      </c>
    </row>
    <row r="540" spans="1:8" x14ac:dyDescent="0.2">
      <c r="A540" s="15" t="s">
        <v>1007</v>
      </c>
      <c r="B540" s="15">
        <v>18380430</v>
      </c>
      <c r="C540" s="15">
        <v>20261231</v>
      </c>
      <c r="D540" s="15" t="s">
        <v>328</v>
      </c>
      <c r="E540" s="33">
        <f>12+6/60</f>
        <v>12.1</v>
      </c>
      <c r="F540" s="33">
        <f>-86-14/60</f>
        <v>-86.233333333333334</v>
      </c>
      <c r="G540" s="25" t="s">
        <v>2147</v>
      </c>
      <c r="H540" s="19">
        <f>VLOOKUP( $A540, Sovereignty!$A$2:$L$510, 12, 0 )</f>
        <v>0</v>
      </c>
    </row>
    <row r="541" spans="1:8" x14ac:dyDescent="0.2">
      <c r="A541" s="15" t="s">
        <v>2144</v>
      </c>
      <c r="B541" s="15">
        <v>17760101</v>
      </c>
      <c r="C541" s="15">
        <v>18210915</v>
      </c>
      <c r="D541" s="15" t="s">
        <v>265</v>
      </c>
      <c r="E541" s="33">
        <f>14+38/60+30/3600</f>
        <v>14.641666666666666</v>
      </c>
      <c r="F541" s="33">
        <f>-90-30/60-48/3600</f>
        <v>-90.513333333333335</v>
      </c>
      <c r="G541" s="25" t="s">
        <v>2128</v>
      </c>
      <c r="H541" s="19">
        <f>VLOOKUP( $A541, Sovereignty!$A$2:$L$510, 12, 0 )</f>
        <v>0</v>
      </c>
    </row>
    <row r="542" spans="1:8" x14ac:dyDescent="0.2">
      <c r="A542" s="15" t="s">
        <v>2144</v>
      </c>
      <c r="B542" s="15">
        <v>16090101</v>
      </c>
      <c r="C542" s="15">
        <v>17760101</v>
      </c>
      <c r="D542" s="15" t="s">
        <v>2145</v>
      </c>
      <c r="E542" s="33">
        <f>14+33/60+27/3600</f>
        <v>14.557500000000001</v>
      </c>
      <c r="F542" s="33">
        <f>-90-44/60</f>
        <v>-90.733333333333334</v>
      </c>
      <c r="G542" s="25" t="s">
        <v>2146</v>
      </c>
      <c r="H542" s="19">
        <f>VLOOKUP( $A542, Sovereignty!$A$2:$L$510, 12, 0 )</f>
        <v>0</v>
      </c>
    </row>
    <row r="543" spans="1:8" x14ac:dyDescent="0.2">
      <c r="A543" s="15" t="s">
        <v>1008</v>
      </c>
      <c r="B543" s="15">
        <v>18381105</v>
      </c>
      <c r="C543" s="15">
        <v>20261231</v>
      </c>
      <c r="D543" s="15" t="s">
        <v>274</v>
      </c>
      <c r="E543" s="33">
        <f>14+6/60</f>
        <v>14.1</v>
      </c>
      <c r="F543" s="33">
        <f>-87-13/60</f>
        <v>-87.216666666666669</v>
      </c>
      <c r="G543" s="25" t="s">
        <v>2265</v>
      </c>
      <c r="H543" s="19">
        <f>VLOOKUP( $A543, Sovereignty!$A$2:$L$510, 12, 0 )</f>
        <v>0</v>
      </c>
    </row>
    <row r="544" spans="1:8" x14ac:dyDescent="0.2">
      <c r="A544" s="15" t="s">
        <v>1013</v>
      </c>
      <c r="B544" s="15">
        <v>18390417</v>
      </c>
      <c r="C544" s="15">
        <v>20261231</v>
      </c>
      <c r="D544" s="15" t="s">
        <v>265</v>
      </c>
      <c r="E544" s="33">
        <f>14+38/60+30/3600</f>
        <v>14.641666666666666</v>
      </c>
      <c r="F544" s="33">
        <f>-90-30/60-48/3600</f>
        <v>-90.513333333333335</v>
      </c>
      <c r="G544" s="25" t="s">
        <v>2128</v>
      </c>
      <c r="H544" s="19">
        <f>VLOOKUP( $A544, Sovereignty!$A$2:$L$510, 12, 0 )</f>
        <v>0</v>
      </c>
    </row>
    <row r="545" spans="1:8" x14ac:dyDescent="0.2">
      <c r="A545" s="15" t="s">
        <v>1015</v>
      </c>
      <c r="B545" s="15">
        <v>19810921</v>
      </c>
      <c r="C545" s="15">
        <v>20261231</v>
      </c>
      <c r="D545" s="15" t="s">
        <v>209</v>
      </c>
      <c r="E545" s="33">
        <f>17+15/60+8/3600</f>
        <v>17.252222222222223</v>
      </c>
      <c r="F545" s="33">
        <f>-88-45/60-50/3600</f>
        <v>-88.763888888888886</v>
      </c>
      <c r="G545" s="25" t="s">
        <v>2272</v>
      </c>
      <c r="H545" s="19">
        <f>VLOOKUP( $A545, Sovereignty!$A$2:$L$510, 12, 0 )</f>
        <v>0</v>
      </c>
    </row>
    <row r="546" spans="1:8" x14ac:dyDescent="0.2">
      <c r="A546" s="15" t="s">
        <v>2268</v>
      </c>
      <c r="B546" s="15">
        <v>19700801</v>
      </c>
      <c r="C546" s="15">
        <v>19810921</v>
      </c>
      <c r="D546" s="15" t="s">
        <v>209</v>
      </c>
      <c r="E546" s="33">
        <f>17+15/60+8/3600</f>
        <v>17.252222222222223</v>
      </c>
      <c r="F546" s="33">
        <f>-88-45/60-50/3600</f>
        <v>-88.763888888888886</v>
      </c>
      <c r="G546" s="25" t="s">
        <v>2272</v>
      </c>
      <c r="H546" s="19">
        <f>VLOOKUP( $A546, Sovereignty!$A$2:$L$510, 12, 0 )</f>
        <v>0</v>
      </c>
    </row>
    <row r="547" spans="1:8" x14ac:dyDescent="0.2">
      <c r="A547" s="15" t="s">
        <v>2268</v>
      </c>
      <c r="B547" s="15">
        <v>18620101</v>
      </c>
      <c r="C547" s="15">
        <v>19700801</v>
      </c>
      <c r="D547" s="15" t="s">
        <v>2270</v>
      </c>
      <c r="E547" s="33">
        <f>17+29/60+55/3600</f>
        <v>17.498611111111114</v>
      </c>
      <c r="F547" s="33">
        <f>-88-11/60-19/3600</f>
        <v>-88.188611111111115</v>
      </c>
      <c r="G547" s="25" t="s">
        <v>2271</v>
      </c>
      <c r="H547" s="19">
        <f>VLOOKUP( $A547, Sovereignty!$A$2:$L$510, 12, 0 )</f>
        <v>0</v>
      </c>
    </row>
    <row r="548" spans="1:8" x14ac:dyDescent="0.2">
      <c r="A548" s="15" t="s">
        <v>1019</v>
      </c>
      <c r="B548" s="15">
        <v>18410130</v>
      </c>
      <c r="C548" s="15">
        <v>20261231</v>
      </c>
      <c r="D548" s="15" t="s">
        <v>249</v>
      </c>
      <c r="E548" s="33">
        <f>13+42/60</f>
        <v>13.7</v>
      </c>
      <c r="F548" s="33">
        <f>-89-12/60</f>
        <v>-89.2</v>
      </c>
      <c r="G548" s="25" t="s">
        <v>2274</v>
      </c>
      <c r="H548" s="19">
        <f>VLOOKUP( $A548, Sovereignty!$A$2:$L$510, 12, 0 )</f>
        <v>0</v>
      </c>
    </row>
    <row r="549" spans="1:8" x14ac:dyDescent="0.2">
      <c r="A549" s="15" t="s">
        <v>1014</v>
      </c>
      <c r="B549" s="15">
        <v>18210927</v>
      </c>
      <c r="C549" s="15">
        <v>20261231</v>
      </c>
      <c r="D549" s="15" t="s">
        <v>316</v>
      </c>
      <c r="E549" s="33">
        <f>19+26/60</f>
        <v>19.433333333333334</v>
      </c>
      <c r="F549" s="33">
        <f>-99-8/60</f>
        <v>-99.13333333333334</v>
      </c>
      <c r="G549" s="25" t="s">
        <v>2276</v>
      </c>
      <c r="H549" s="19">
        <f>VLOOKUP( $A549, Sovereignty!$A$2:$L$510, 12, 0 )</f>
        <v>0</v>
      </c>
    </row>
    <row r="550" spans="1:8" x14ac:dyDescent="0.2">
      <c r="A550" s="15" t="s">
        <v>2279</v>
      </c>
      <c r="B550" s="15">
        <v>15350101</v>
      </c>
      <c r="C550" s="15">
        <v>18210927</v>
      </c>
      <c r="D550" s="15" t="s">
        <v>316</v>
      </c>
      <c r="E550" s="33">
        <f>19+26/60</f>
        <v>19.433333333333334</v>
      </c>
      <c r="F550" s="33">
        <f>-99-8/60</f>
        <v>-99.13333333333334</v>
      </c>
      <c r="G550" s="25" t="s">
        <v>2276</v>
      </c>
      <c r="H550" s="19">
        <f>VLOOKUP( $A550, Sovereignty!$A$2:$L$510, 12, 0 )</f>
        <v>0</v>
      </c>
    </row>
    <row r="551" spans="1:8" x14ac:dyDescent="0.2">
      <c r="A551" s="15" t="s">
        <v>831</v>
      </c>
      <c r="B551" s="15">
        <v>18981210</v>
      </c>
      <c r="C551" s="15">
        <v>20261231</v>
      </c>
      <c r="D551" s="15" t="s">
        <v>832</v>
      </c>
      <c r="E551" s="33">
        <f>18+27/60</f>
        <v>18.45</v>
      </c>
      <c r="F551" s="33">
        <f>-66-6/60</f>
        <v>-66.099999999999994</v>
      </c>
      <c r="G551" s="25" t="s">
        <v>2281</v>
      </c>
      <c r="H551" s="19">
        <f>VLOOKUP( $A551, Sovereignty!$A$2:$L$510, 12, 0 )</f>
        <v>0</v>
      </c>
    </row>
    <row r="552" spans="1:8" x14ac:dyDescent="0.2">
      <c r="A552" s="15" t="s">
        <v>833</v>
      </c>
      <c r="B552" s="15">
        <v>15820101</v>
      </c>
      <c r="C552" s="15">
        <v>18981210</v>
      </c>
      <c r="D552" s="15" t="s">
        <v>832</v>
      </c>
      <c r="E552" s="33">
        <f>18+27/60</f>
        <v>18.45</v>
      </c>
      <c r="F552" s="33">
        <f>-66-6/60</f>
        <v>-66.099999999999994</v>
      </c>
      <c r="G552" s="25" t="s">
        <v>2281</v>
      </c>
      <c r="H552" s="19">
        <f>VLOOKUP( $A552, Sovereignty!$A$2:$L$510, 12, 0 )</f>
        <v>0</v>
      </c>
    </row>
    <row r="553" spans="1:8" x14ac:dyDescent="0.2">
      <c r="A553" s="15" t="s">
        <v>841</v>
      </c>
      <c r="B553" s="15">
        <v>19170331</v>
      </c>
      <c r="C553" s="15">
        <v>20261231</v>
      </c>
      <c r="D553" s="15" t="s">
        <v>838</v>
      </c>
      <c r="E553" s="33">
        <f>18+21/60</f>
        <v>18.350000000000001</v>
      </c>
      <c r="F553" s="33">
        <f>-64-57/3600</f>
        <v>-64.015833333333333</v>
      </c>
      <c r="G553" s="25" t="s">
        <v>2283</v>
      </c>
      <c r="H553" s="19">
        <f>VLOOKUP( $A553, Sovereignty!$A$2:$L$510, 12, 0 )</f>
        <v>0</v>
      </c>
    </row>
    <row r="554" spans="1:8" x14ac:dyDescent="0.2">
      <c r="A554" s="15" t="s">
        <v>837</v>
      </c>
      <c r="B554" s="15">
        <v>18710101</v>
      </c>
      <c r="C554" s="15">
        <v>19170331</v>
      </c>
      <c r="D554" s="15" t="s">
        <v>838</v>
      </c>
      <c r="E554" s="33">
        <f>18+21/60</f>
        <v>18.350000000000001</v>
      </c>
      <c r="F554" s="33">
        <f>-64-57/3600</f>
        <v>-64.015833333333333</v>
      </c>
      <c r="G554" s="25" t="s">
        <v>2283</v>
      </c>
      <c r="H554" s="19">
        <f>VLOOKUP( $A554, Sovereignty!$A$2:$L$510, 12, 0 )</f>
        <v>0</v>
      </c>
    </row>
    <row r="555" spans="1:8" x14ac:dyDescent="0.2">
      <c r="A555" s="15" t="s">
        <v>837</v>
      </c>
      <c r="B555" s="15">
        <v>17540101</v>
      </c>
      <c r="C555" s="15">
        <v>18710101</v>
      </c>
      <c r="D555" s="15" t="s">
        <v>839</v>
      </c>
      <c r="E555" s="33">
        <f>17.75</f>
        <v>17.75</v>
      </c>
      <c r="F555" s="33">
        <f>-64.75</f>
        <v>-64.75</v>
      </c>
      <c r="G555" s="25" t="s">
        <v>2282</v>
      </c>
      <c r="H555" s="19">
        <f>VLOOKUP( $A555, Sovereignty!$A$2:$L$510, 12, 0 )</f>
        <v>0</v>
      </c>
    </row>
    <row r="556" spans="1:8" x14ac:dyDescent="0.2">
      <c r="A556" s="15" t="s">
        <v>837</v>
      </c>
      <c r="B556" s="15">
        <v>16720101</v>
      </c>
      <c r="C556" s="15">
        <v>17540101</v>
      </c>
      <c r="D556" s="15" t="s">
        <v>838</v>
      </c>
      <c r="E556" s="33">
        <f>18+21/60</f>
        <v>18.350000000000001</v>
      </c>
      <c r="F556" s="33">
        <f>-64-57/3600</f>
        <v>-64.015833333333333</v>
      </c>
      <c r="G556" s="25" t="s">
        <v>2283</v>
      </c>
      <c r="H556" s="19">
        <f>VLOOKUP( $A556, Sovereignty!$A$2:$L$510, 12, 0 )</f>
        <v>0</v>
      </c>
    </row>
    <row r="557" spans="1:8" x14ac:dyDescent="0.2">
      <c r="A557" s="15" t="s">
        <v>1018</v>
      </c>
      <c r="B557" s="15">
        <v>18000514</v>
      </c>
      <c r="C557" s="15">
        <v>20261231</v>
      </c>
      <c r="D557" s="15" t="s">
        <v>390</v>
      </c>
      <c r="E557" s="33">
        <f t="shared" ref="E557" si="81">38+53/60</f>
        <v>38.883333333333333</v>
      </c>
      <c r="F557" s="33">
        <f t="shared" ref="F557" si="82">-77-1/60</f>
        <v>-77.016666666666666</v>
      </c>
      <c r="G557" s="25" t="s">
        <v>2284</v>
      </c>
      <c r="H557" s="19">
        <f>VLOOKUP( $A557, Sovereignty!$A$2:$L$510, 12, 0 )</f>
        <v>0</v>
      </c>
    </row>
    <row r="558" spans="1:8" x14ac:dyDescent="0.2">
      <c r="A558" s="15" t="s">
        <v>1018</v>
      </c>
      <c r="B558" s="15">
        <v>17901205</v>
      </c>
      <c r="C558" s="15">
        <v>18000514</v>
      </c>
      <c r="D558" s="15" t="s">
        <v>2285</v>
      </c>
      <c r="E558" s="33">
        <f>39+57/60+10/3600</f>
        <v>39.952777777777783</v>
      </c>
      <c r="F558" s="33">
        <f>-75-9/60-49/3600</f>
        <v>-75.163611111111123</v>
      </c>
      <c r="G558" s="25" t="s">
        <v>2288</v>
      </c>
      <c r="H558" s="19">
        <f>VLOOKUP( $A558, Sovereignty!$A$2:$L$510, 12, 0 )</f>
        <v>0</v>
      </c>
    </row>
    <row r="559" spans="1:8" x14ac:dyDescent="0.2">
      <c r="A559" s="15" t="s">
        <v>1018</v>
      </c>
      <c r="B559" s="15">
        <v>17760704</v>
      </c>
      <c r="C559" s="15">
        <v>17901205</v>
      </c>
      <c r="D559" s="15" t="s">
        <v>2286</v>
      </c>
      <c r="E559" s="33">
        <f>40+42/60+46/3600</f>
        <v>40.712777777777781</v>
      </c>
      <c r="F559" s="33">
        <f>-74-22/3600</f>
        <v>-74.00611111111111</v>
      </c>
      <c r="G559" s="25" t="s">
        <v>2287</v>
      </c>
      <c r="H559" s="19">
        <f>VLOOKUP( $A559, Sovereignty!$A$2:$L$510, 12, 0 )</f>
        <v>0</v>
      </c>
    </row>
    <row r="560" spans="1:8" x14ac:dyDescent="0.2">
      <c r="A560" s="15" t="s">
        <v>1017</v>
      </c>
      <c r="B560" s="15">
        <v>18670701</v>
      </c>
      <c r="C560" s="15">
        <v>20261231</v>
      </c>
      <c r="D560" s="15" t="s">
        <v>226</v>
      </c>
      <c r="E560" s="33">
        <f>45+24/60</f>
        <v>45.4</v>
      </c>
      <c r="F560" s="33">
        <f>-75-40/60</f>
        <v>-75.666666666666671</v>
      </c>
      <c r="G560" s="25" t="s">
        <v>2289</v>
      </c>
      <c r="H560" s="19">
        <f>VLOOKUP( $A560, Sovereignty!$A$2:$L$510, 12, 0 )</f>
        <v>0</v>
      </c>
    </row>
    <row r="561" spans="1:8" x14ac:dyDescent="0.2">
      <c r="A561" s="15" t="s">
        <v>825</v>
      </c>
      <c r="B561" s="15">
        <v>17210101</v>
      </c>
      <c r="C561" s="15">
        <v>20261231</v>
      </c>
      <c r="D561" s="15" t="s">
        <v>824</v>
      </c>
      <c r="E561" s="33">
        <f>64+10/60</f>
        <v>64.166666666666671</v>
      </c>
      <c r="F561" s="33">
        <f>-51-44/60</f>
        <v>-51.733333333333334</v>
      </c>
      <c r="G561" s="25" t="s">
        <v>2110</v>
      </c>
      <c r="H561" s="19">
        <f>VLOOKUP( $A561, Sovereignty!$A$2:$L$510, 12, 0 )</f>
        <v>0</v>
      </c>
    </row>
    <row r="562" spans="1:8" x14ac:dyDescent="0.2">
      <c r="A562" s="15" t="s">
        <v>755</v>
      </c>
      <c r="B562" s="15">
        <v>19270101</v>
      </c>
      <c r="C562" s="15">
        <v>20261231</v>
      </c>
      <c r="D562" s="15" t="s">
        <v>199</v>
      </c>
      <c r="E562" s="33">
        <f>-35-18/60-29/3600</f>
        <v>-35.308055555555555</v>
      </c>
      <c r="F562" s="33">
        <f>149+7/60+28/3600</f>
        <v>149.12444444444446</v>
      </c>
      <c r="G562" s="25" t="s">
        <v>2290</v>
      </c>
      <c r="H562" s="19">
        <f>VLOOKUP( $A562, Sovereignty!$A$2:$L$510, 12, 0 )</f>
        <v>0</v>
      </c>
    </row>
    <row r="563" spans="1:8" x14ac:dyDescent="0.2">
      <c r="A563" s="15" t="s">
        <v>755</v>
      </c>
      <c r="B563" s="15">
        <v>19010101</v>
      </c>
      <c r="C563" s="15">
        <v>19270101</v>
      </c>
      <c r="D563" s="15" t="s">
        <v>643</v>
      </c>
      <c r="E563" s="33">
        <f>-37-48/60-51/3600</f>
        <v>-37.814166666666665</v>
      </c>
      <c r="F563" s="33">
        <f>144+57/60+47/3600</f>
        <v>144.96305555555554</v>
      </c>
      <c r="G563" s="25" t="s">
        <v>2291</v>
      </c>
      <c r="H563" s="19">
        <f>VLOOKUP( $A563, Sovereignty!$A$2:$L$510, 12, 0 )</f>
        <v>0</v>
      </c>
    </row>
    <row r="564" spans="1:8" x14ac:dyDescent="0.2">
      <c r="A564" s="15" t="s">
        <v>752</v>
      </c>
      <c r="B564" s="15">
        <v>17880118</v>
      </c>
      <c r="C564" s="15">
        <v>19010101</v>
      </c>
      <c r="D564" s="15" t="s">
        <v>642</v>
      </c>
      <c r="E564" s="33">
        <f>-33-52/60-4/3600</f>
        <v>-33.867777777777775</v>
      </c>
      <c r="F564" s="33">
        <f>151+12/60+36/3600</f>
        <v>151.20999999999998</v>
      </c>
      <c r="G564" s="25" t="s">
        <v>2292</v>
      </c>
      <c r="H564" s="19">
        <f>VLOOKUP( $A564, Sovereignty!$A$2:$L$510, 12, 0 )</f>
        <v>0</v>
      </c>
    </row>
    <row r="565" spans="1:8" x14ac:dyDescent="0.2">
      <c r="A565" s="15" t="s">
        <v>750</v>
      </c>
      <c r="B565" s="15">
        <v>19070926</v>
      </c>
      <c r="C565" s="15">
        <v>20261231</v>
      </c>
      <c r="D565" s="15" t="s">
        <v>327</v>
      </c>
      <c r="E565" s="33">
        <f>-41-18/60</f>
        <v>-41.3</v>
      </c>
      <c r="F565" s="33">
        <f>174+47/60</f>
        <v>174.78333333333333</v>
      </c>
      <c r="G565" s="25" t="s">
        <v>2293</v>
      </c>
      <c r="H565" s="19">
        <f>VLOOKUP( $A565, Sovereignty!$A$2:$L$510, 12, 0 )</f>
        <v>0</v>
      </c>
    </row>
    <row r="566" spans="1:8" x14ac:dyDescent="0.2">
      <c r="A566" s="15" t="s">
        <v>748</v>
      </c>
      <c r="B566" s="15">
        <v>18650101</v>
      </c>
      <c r="C566" s="15">
        <v>19070926</v>
      </c>
      <c r="D566" s="15" t="s">
        <v>327</v>
      </c>
      <c r="E566" s="33">
        <f>-41-18/60</f>
        <v>-41.3</v>
      </c>
      <c r="F566" s="33">
        <f>174+47/60</f>
        <v>174.78333333333333</v>
      </c>
      <c r="G566" s="25" t="s">
        <v>2293</v>
      </c>
      <c r="H566" s="19">
        <f>VLOOKUP( $A566, Sovereignty!$A$2:$L$510, 12, 0 )</f>
        <v>0</v>
      </c>
    </row>
    <row r="567" spans="1:8" x14ac:dyDescent="0.2">
      <c r="A567" s="15" t="s">
        <v>748</v>
      </c>
      <c r="B567" s="15">
        <v>18410503</v>
      </c>
      <c r="C567" s="15">
        <v>18650101</v>
      </c>
      <c r="D567" s="15" t="s">
        <v>640</v>
      </c>
      <c r="E567" s="33">
        <f>-36-50/60-57/3600</f>
        <v>-36.849166666666669</v>
      </c>
      <c r="F567" s="33">
        <f>174+45/60+55/3600</f>
        <v>174.76527777777778</v>
      </c>
      <c r="G567" s="25" t="s">
        <v>2295</v>
      </c>
      <c r="H567" s="19">
        <f>VLOOKUP( $A567, Sovereignty!$A$2:$L$510, 12, 0 )</f>
        <v>0</v>
      </c>
    </row>
    <row r="568" spans="1:8" x14ac:dyDescent="0.2">
      <c r="A568" s="15" t="s">
        <v>744</v>
      </c>
      <c r="B568" s="15">
        <v>19750916</v>
      </c>
      <c r="C568" s="15">
        <v>20261231</v>
      </c>
      <c r="D568" s="15" t="s">
        <v>338</v>
      </c>
      <c r="E568" s="33">
        <f>-9-28/60-44/3600</f>
        <v>-9.4788888888888891</v>
      </c>
      <c r="F568" s="33">
        <f>147+8/60+58/3600</f>
        <v>147.14944444444444</v>
      </c>
      <c r="G568" s="25" t="s">
        <v>2301</v>
      </c>
      <c r="H568" s="19">
        <f>VLOOKUP( $A568, Sovereignty!$A$2:$L$510, 12, 0 )</f>
        <v>0</v>
      </c>
    </row>
    <row r="569" spans="1:8" x14ac:dyDescent="0.2">
      <c r="A569" s="15" t="s">
        <v>741</v>
      </c>
      <c r="B569" s="15">
        <v>19490701</v>
      </c>
      <c r="C569" s="15">
        <v>19750916</v>
      </c>
      <c r="D569" s="15" t="s">
        <v>338</v>
      </c>
      <c r="E569" s="33">
        <f>-9-28/60-44/3600</f>
        <v>-9.4788888888888891</v>
      </c>
      <c r="F569" s="33">
        <f>147+8/60+58/3600</f>
        <v>147.14944444444444</v>
      </c>
      <c r="G569" s="25" t="s">
        <v>2301</v>
      </c>
      <c r="H569" s="19">
        <f>VLOOKUP( $A569, Sovereignty!$A$2:$L$510, 12, 0 )</f>
        <v>0</v>
      </c>
    </row>
    <row r="570" spans="1:8" x14ac:dyDescent="0.2">
      <c r="A570" s="15" t="s">
        <v>738</v>
      </c>
      <c r="B570" s="15">
        <v>19370101</v>
      </c>
      <c r="C570" s="15">
        <v>19490701</v>
      </c>
      <c r="D570" s="15" t="s">
        <v>638</v>
      </c>
      <c r="E570" s="33">
        <f>-6-43/60-49/3600</f>
        <v>-6.7302777777777782</v>
      </c>
      <c r="F570" s="33">
        <f>147+3/3600</f>
        <v>147.00083333333333</v>
      </c>
      <c r="G570" s="25" t="s">
        <v>2300</v>
      </c>
      <c r="H570" s="19">
        <f>VLOOKUP( $A570, Sovereignty!$A$2:$L$510, 12, 0 )</f>
        <v>0</v>
      </c>
    </row>
    <row r="571" spans="1:8" x14ac:dyDescent="0.2">
      <c r="A571" s="15" t="s">
        <v>738</v>
      </c>
      <c r="B571" s="15">
        <v>19201217</v>
      </c>
      <c r="C571" s="15">
        <v>19370101</v>
      </c>
      <c r="D571" s="15" t="s">
        <v>637</v>
      </c>
      <c r="E571" s="33">
        <f>-4-12/60</f>
        <v>-4.2</v>
      </c>
      <c r="F571" s="33">
        <f>152+11/60</f>
        <v>152.18333333333334</v>
      </c>
      <c r="G571" s="25" t="s">
        <v>2299</v>
      </c>
      <c r="H571" s="19">
        <f>VLOOKUP( $A571, Sovereignty!$A$2:$L$510, 12, 0 )</f>
        <v>0</v>
      </c>
    </row>
    <row r="572" spans="1:8" x14ac:dyDescent="0.2">
      <c r="A572" s="15" t="s">
        <v>2302</v>
      </c>
      <c r="B572" s="15">
        <v>19020318</v>
      </c>
      <c r="C572" s="15">
        <v>19490701</v>
      </c>
      <c r="D572" s="15" t="s">
        <v>338</v>
      </c>
      <c r="E572" s="33">
        <f t="shared" ref="E572:E573" si="83">-9-28/60-44/3600</f>
        <v>-9.4788888888888891</v>
      </c>
      <c r="F572" s="33">
        <f t="shared" ref="F572:F573" si="84">147+8/60+58/3600</f>
        <v>147.14944444444444</v>
      </c>
      <c r="G572" s="25" t="s">
        <v>2301</v>
      </c>
      <c r="H572" s="19">
        <f>VLOOKUP( $A572, Sovereignty!$A$2:$L$510, 12, 0 )</f>
        <v>0</v>
      </c>
    </row>
    <row r="573" spans="1:8" x14ac:dyDescent="0.2">
      <c r="A573" s="15" t="s">
        <v>739</v>
      </c>
      <c r="B573" s="15">
        <v>18841021</v>
      </c>
      <c r="C573" s="15">
        <v>19020318</v>
      </c>
      <c r="D573" s="15" t="s">
        <v>338</v>
      </c>
      <c r="E573" s="33">
        <f t="shared" si="83"/>
        <v>-9.4788888888888891</v>
      </c>
      <c r="F573" s="33">
        <f t="shared" si="84"/>
        <v>147.14944444444444</v>
      </c>
      <c r="G573" s="25" t="s">
        <v>2301</v>
      </c>
      <c r="H573" s="19">
        <f>VLOOKUP( $A573, Sovereignty!$A$2:$L$510, 12, 0 )</f>
        <v>0</v>
      </c>
    </row>
    <row r="574" spans="1:8" x14ac:dyDescent="0.2">
      <c r="A574" s="15" t="s">
        <v>714</v>
      </c>
      <c r="B574" s="15">
        <v>18841103</v>
      </c>
      <c r="C574" s="15">
        <v>18910101</v>
      </c>
      <c r="D574" s="15" t="s">
        <v>616</v>
      </c>
      <c r="E574" s="33">
        <f>-6-36/60</f>
        <v>-6.6</v>
      </c>
      <c r="F574" s="33">
        <f>147+51/60</f>
        <v>147.85</v>
      </c>
      <c r="G574" s="25" t="s">
        <v>2296</v>
      </c>
      <c r="H574" s="19">
        <f>VLOOKUP( $A574, Sovereignty!$A$2:$L$510, 12, 0 )</f>
        <v>0</v>
      </c>
    </row>
    <row r="575" spans="1:8" x14ac:dyDescent="0.2">
      <c r="A575" s="15" t="s">
        <v>714</v>
      </c>
      <c r="B575" s="15">
        <v>18910101</v>
      </c>
      <c r="C575" s="15">
        <v>18990101</v>
      </c>
      <c r="D575" s="15" t="s">
        <v>617</v>
      </c>
      <c r="E575" s="33">
        <f>-5-13/60</f>
        <v>-5.2166666666666668</v>
      </c>
      <c r="F575" s="33">
        <f>145+48/60</f>
        <v>145.80000000000001</v>
      </c>
      <c r="G575" s="25" t="s">
        <v>2297</v>
      </c>
      <c r="H575" s="19">
        <f>VLOOKUP( $A575, Sovereignty!$A$2:$L$510, 12, 0 )</f>
        <v>0</v>
      </c>
    </row>
    <row r="576" spans="1:8" x14ac:dyDescent="0.2">
      <c r="A576" s="15" t="s">
        <v>714</v>
      </c>
      <c r="B576" s="15">
        <v>18990101</v>
      </c>
      <c r="C576" s="15">
        <v>19100101</v>
      </c>
      <c r="D576" s="15" t="s">
        <v>618</v>
      </c>
      <c r="E576" s="33">
        <f>-4-21/60</f>
        <v>-4.3499999999999996</v>
      </c>
      <c r="F576" s="33">
        <f>152+16/60+25/3600</f>
        <v>152.27361111111114</v>
      </c>
      <c r="G576" s="25" t="s">
        <v>2298</v>
      </c>
      <c r="H576" s="19">
        <f>VLOOKUP( $A576, Sovereignty!$A$2:$L$510, 12, 0 )</f>
        <v>0</v>
      </c>
    </row>
    <row r="577" spans="1:8" x14ac:dyDescent="0.2">
      <c r="A577" s="15" t="s">
        <v>714</v>
      </c>
      <c r="B577" s="15">
        <v>19100101</v>
      </c>
      <c r="C577" s="15">
        <v>19201217</v>
      </c>
      <c r="D577" s="15" t="s">
        <v>619</v>
      </c>
      <c r="E577" s="33">
        <f>-4-12/60</f>
        <v>-4.2</v>
      </c>
      <c r="F577" s="33">
        <f>152+11/60</f>
        <v>152.18333333333334</v>
      </c>
      <c r="G577" s="25" t="s">
        <v>2299</v>
      </c>
      <c r="H577" s="19">
        <f>VLOOKUP( $A577, Sovereignty!$A$2:$L$510, 12, 0 )</f>
        <v>0</v>
      </c>
    </row>
    <row r="578" spans="1:8" x14ac:dyDescent="0.2">
      <c r="A578" s="15" t="s">
        <v>734</v>
      </c>
      <c r="B578" s="15">
        <v>19780707</v>
      </c>
      <c r="C578" s="15">
        <v>20261231</v>
      </c>
      <c r="D578" s="15" t="s">
        <v>360</v>
      </c>
      <c r="E578" s="33">
        <f>-9-25/60-55/3600</f>
        <v>-9.4319444444444436</v>
      </c>
      <c r="F578" s="33">
        <f>159+57/60+20/3600</f>
        <v>159.95555555555555</v>
      </c>
      <c r="G578" s="25" t="s">
        <v>2305</v>
      </c>
      <c r="H578" s="19">
        <f>VLOOKUP( $A578, Sovereignty!$A$2:$L$510, 12, 0 )</f>
        <v>0</v>
      </c>
    </row>
    <row r="579" spans="1:8" x14ac:dyDescent="0.2">
      <c r="A579" s="15" t="s">
        <v>732</v>
      </c>
      <c r="B579" s="15">
        <v>18930315</v>
      </c>
      <c r="C579" s="15">
        <v>19520101</v>
      </c>
      <c r="D579" s="15" t="s">
        <v>634</v>
      </c>
      <c r="E579" s="33">
        <f>-9-6/60-5/3600</f>
        <v>-9.1013888888888879</v>
      </c>
      <c r="F579" s="33">
        <f>160+8/60+48/3600</f>
        <v>160.14666666666665</v>
      </c>
      <c r="G579" s="25" t="s">
        <v>2304</v>
      </c>
      <c r="H579" s="19">
        <f>VLOOKUP( $A579, Sovereignty!$A$2:$L$510, 12, 0 )</f>
        <v>0</v>
      </c>
    </row>
    <row r="580" spans="1:8" x14ac:dyDescent="0.2">
      <c r="A580" s="15" t="s">
        <v>687</v>
      </c>
      <c r="B580" s="15">
        <v>19781001</v>
      </c>
      <c r="C580" s="15">
        <v>20261231</v>
      </c>
      <c r="D580" s="15" t="s">
        <v>384</v>
      </c>
      <c r="E580" s="33">
        <f>-8-31/60</f>
        <v>-8.5166666666666675</v>
      </c>
      <c r="F580" s="33">
        <f>179+12/60</f>
        <v>179.2</v>
      </c>
      <c r="G580" s="25" t="s">
        <v>2306</v>
      </c>
      <c r="H580" s="19">
        <f>VLOOKUP( $A580, Sovereignty!$A$2:$L$510, 12, 0 )</f>
        <v>0</v>
      </c>
    </row>
    <row r="581" spans="1:8" x14ac:dyDescent="0.2">
      <c r="A581" s="15" t="s">
        <v>695</v>
      </c>
      <c r="B581" s="15">
        <v>19760101</v>
      </c>
      <c r="C581" s="15">
        <v>19781001</v>
      </c>
      <c r="D581" s="15" t="s">
        <v>384</v>
      </c>
      <c r="E581" s="33">
        <f>-8-31/60</f>
        <v>-8.5166666666666675</v>
      </c>
      <c r="F581" s="33">
        <f>179+12/60</f>
        <v>179.2</v>
      </c>
      <c r="G581" s="25" t="s">
        <v>2306</v>
      </c>
      <c r="H581" s="19">
        <f>VLOOKUP( $A581, Sovereignty!$A$2:$L$510, 12, 0 )</f>
        <v>0</v>
      </c>
    </row>
    <row r="582" spans="1:8" x14ac:dyDescent="0.2">
      <c r="A582" s="15" t="s">
        <v>719</v>
      </c>
      <c r="B582" s="15">
        <v>19700604</v>
      </c>
      <c r="C582" s="15">
        <v>20261231</v>
      </c>
      <c r="D582" s="15" t="s">
        <v>379</v>
      </c>
      <c r="E582" s="33">
        <f>-21-8/60</f>
        <v>-21.133333333333333</v>
      </c>
      <c r="F582" s="33">
        <f>175+12/60</f>
        <v>175.2</v>
      </c>
      <c r="G582" s="25" t="s">
        <v>2307</v>
      </c>
      <c r="H582" s="19">
        <f>VLOOKUP( $A582, Sovereignty!$A$2:$L$510, 12, 0 )</f>
        <v>0</v>
      </c>
    </row>
    <row r="583" spans="1:8" x14ac:dyDescent="0.2">
      <c r="A583" s="15" t="s">
        <v>718</v>
      </c>
      <c r="B583" s="15">
        <v>19000518</v>
      </c>
      <c r="C583" s="15">
        <v>19700604</v>
      </c>
      <c r="D583" s="15" t="s">
        <v>379</v>
      </c>
      <c r="E583" s="33">
        <f>-21-8/60</f>
        <v>-21.133333333333333</v>
      </c>
      <c r="F583" s="33">
        <f>175+12/60</f>
        <v>175.2</v>
      </c>
      <c r="G583" s="25" t="s">
        <v>2307</v>
      </c>
      <c r="H583" s="19">
        <f>VLOOKUP( $A583, Sovereignty!$A$2:$L$510, 12, 0 )</f>
        <v>0</v>
      </c>
    </row>
    <row r="584" spans="1:8" x14ac:dyDescent="0.2">
      <c r="A584" s="15" t="s">
        <v>730</v>
      </c>
      <c r="B584" s="15">
        <v>19701010</v>
      </c>
      <c r="C584" s="15">
        <v>20261231</v>
      </c>
      <c r="D584" s="15" t="s">
        <v>255</v>
      </c>
      <c r="E584" s="33">
        <f>-18.1416</f>
        <v>-18.1416</v>
      </c>
      <c r="F584" s="33">
        <f>178.4419</f>
        <v>178.4419</v>
      </c>
      <c r="G584" s="25" t="s">
        <v>2310</v>
      </c>
      <c r="H584" s="19">
        <f>VLOOKUP( $A584, Sovereignty!$A$2:$L$510, 12, 0 )</f>
        <v>0</v>
      </c>
    </row>
    <row r="585" spans="1:8" x14ac:dyDescent="0.2">
      <c r="A585" s="15" t="s">
        <v>729</v>
      </c>
      <c r="B585" s="15">
        <v>18770101</v>
      </c>
      <c r="C585" s="15">
        <v>19701010</v>
      </c>
      <c r="D585" s="15" t="s">
        <v>255</v>
      </c>
      <c r="E585" s="33">
        <f>-18.1416</f>
        <v>-18.1416</v>
      </c>
      <c r="F585" s="33">
        <f>178.4419</f>
        <v>178.4419</v>
      </c>
      <c r="G585" s="25" t="s">
        <v>2310</v>
      </c>
      <c r="H585" s="19">
        <f>VLOOKUP( $A585, Sovereignty!$A$2:$L$510, 12, 0 )</f>
        <v>0</v>
      </c>
    </row>
    <row r="586" spans="1:8" x14ac:dyDescent="0.2">
      <c r="A586" s="15" t="s">
        <v>729</v>
      </c>
      <c r="B586" s="15">
        <v>18741010</v>
      </c>
      <c r="C586" s="15">
        <v>18770101</v>
      </c>
      <c r="D586" s="15" t="s">
        <v>632</v>
      </c>
      <c r="E586" s="33">
        <f>-17.684014</f>
        <v>-17.684014000000001</v>
      </c>
      <c r="F586" s="33">
        <f>178.840127</f>
        <v>178.840127</v>
      </c>
      <c r="G586" s="25" t="s">
        <v>2311</v>
      </c>
      <c r="H586" s="19">
        <f>VLOOKUP( $A586, Sovereignty!$A$2:$L$510, 12, 0 )</f>
        <v>0</v>
      </c>
    </row>
    <row r="587" spans="1:8" x14ac:dyDescent="0.2">
      <c r="A587" s="15" t="s">
        <v>893</v>
      </c>
      <c r="B587" s="15">
        <v>19000417</v>
      </c>
      <c r="C587" s="15">
        <v>20261231</v>
      </c>
      <c r="D587" s="15" t="s">
        <v>842</v>
      </c>
      <c r="E587" s="33">
        <f>-14-16/60-26/3600</f>
        <v>-14.273888888888889</v>
      </c>
      <c r="F587" s="33">
        <f>-170-42/60-16/3600</f>
        <v>-170.70444444444442</v>
      </c>
      <c r="G587" s="25" t="s">
        <v>2318</v>
      </c>
      <c r="H587" s="19">
        <f>VLOOKUP( $A587, Sovereignty!$A$2:$L$510, 12, 0 )</f>
        <v>0</v>
      </c>
    </row>
    <row r="588" spans="1:8" x14ac:dyDescent="0.2">
      <c r="A588" s="15" t="s">
        <v>721</v>
      </c>
      <c r="B588" s="15">
        <v>19620101</v>
      </c>
      <c r="C588" s="15">
        <v>20261231</v>
      </c>
      <c r="D588" s="15" t="s">
        <v>352</v>
      </c>
      <c r="E588" s="33">
        <f t="shared" ref="E588:E589" si="85">-13-50/60</f>
        <v>-13.833333333333334</v>
      </c>
      <c r="F588" s="33">
        <f t="shared" ref="F588:F589" si="86">-171-45/60</f>
        <v>-171.75</v>
      </c>
      <c r="G588" s="25" t="s">
        <v>2312</v>
      </c>
      <c r="H588" s="19">
        <f>VLOOKUP( $A588, Sovereignty!$A$2:$L$510, 12, 0 )</f>
        <v>0</v>
      </c>
    </row>
    <row r="589" spans="1:8" x14ac:dyDescent="0.2">
      <c r="A589" s="15" t="s">
        <v>723</v>
      </c>
      <c r="B589" s="15">
        <v>19140830</v>
      </c>
      <c r="C589" s="15">
        <v>19620101</v>
      </c>
      <c r="D589" s="15" t="s">
        <v>352</v>
      </c>
      <c r="E589" s="33">
        <f t="shared" si="85"/>
        <v>-13.833333333333334</v>
      </c>
      <c r="F589" s="33">
        <f t="shared" si="86"/>
        <v>-171.75</v>
      </c>
      <c r="G589" s="25" t="s">
        <v>2312</v>
      </c>
      <c r="H589" s="19">
        <f>VLOOKUP( $A589, Sovereignty!$A$2:$L$510, 12, 0 )</f>
        <v>0</v>
      </c>
    </row>
    <row r="590" spans="1:8" x14ac:dyDescent="0.2">
      <c r="A590" s="15" t="s">
        <v>724</v>
      </c>
      <c r="B590" s="15">
        <v>19000301</v>
      </c>
      <c r="C590" s="15">
        <v>19140830</v>
      </c>
      <c r="D590" s="15" t="s">
        <v>352</v>
      </c>
      <c r="E590" s="33">
        <f>-13-50/60</f>
        <v>-13.833333333333334</v>
      </c>
      <c r="F590" s="33">
        <f>-171-45/60</f>
        <v>-171.75</v>
      </c>
      <c r="G590" s="25" t="s">
        <v>2312</v>
      </c>
      <c r="H590" s="19">
        <f>VLOOKUP( $A590, Sovereignty!$A$2:$L$510, 12, 0 )</f>
        <v>0</v>
      </c>
    </row>
    <row r="591" spans="1:8" x14ac:dyDescent="0.2">
      <c r="A591" s="15" t="s">
        <v>726</v>
      </c>
      <c r="B591" s="15">
        <v>19800730</v>
      </c>
      <c r="C591" s="15">
        <v>20261231</v>
      </c>
      <c r="D591" s="15" t="s">
        <v>393</v>
      </c>
      <c r="E591" s="33">
        <f>-17-44/60</f>
        <v>-17.733333333333334</v>
      </c>
      <c r="F591" s="33">
        <f>168+19/60</f>
        <v>168.31666666666666</v>
      </c>
      <c r="G591" s="25" t="s">
        <v>2319</v>
      </c>
      <c r="H591" s="19">
        <f>VLOOKUP( $A591, Sovereignty!$A$2:$L$510, 12, 0 )</f>
        <v>0</v>
      </c>
    </row>
    <row r="592" spans="1:8" x14ac:dyDescent="0.2">
      <c r="A592" s="15" t="s">
        <v>2321</v>
      </c>
      <c r="B592" s="15">
        <v>19061020</v>
      </c>
      <c r="C592" s="15">
        <v>19800730</v>
      </c>
      <c r="D592" s="15" t="s">
        <v>393</v>
      </c>
      <c r="E592" s="33">
        <f>-17-44/60</f>
        <v>-17.733333333333334</v>
      </c>
      <c r="F592" s="33">
        <f>168+19/60</f>
        <v>168.31666666666666</v>
      </c>
      <c r="G592" s="25" t="s">
        <v>2319</v>
      </c>
      <c r="H592" s="19">
        <f>VLOOKUP( $A592, Sovereignty!$A$2:$L$510, 12, 0 )</f>
        <v>0</v>
      </c>
    </row>
    <row r="593" spans="1:8" x14ac:dyDescent="0.2">
      <c r="A593" s="15" t="s">
        <v>735</v>
      </c>
      <c r="B593" s="15">
        <v>19680131</v>
      </c>
      <c r="C593" s="15">
        <v>20261231</v>
      </c>
      <c r="D593" s="15" t="s">
        <v>281</v>
      </c>
      <c r="E593" s="33">
        <f>-32/60-51/3600</f>
        <v>-0.54749999999999999</v>
      </c>
      <c r="F593" s="33">
        <f>166+55/60+3/3600</f>
        <v>166.91749999999999</v>
      </c>
      <c r="G593" s="25" t="s">
        <v>2322</v>
      </c>
      <c r="H593" s="19">
        <f>VLOOKUP( $A593, Sovereignty!$A$2:$L$510, 12, 0 )</f>
        <v>0</v>
      </c>
    </row>
    <row r="594" spans="1:8" x14ac:dyDescent="0.2">
      <c r="A594" s="15" t="s">
        <v>737</v>
      </c>
      <c r="B594" s="15">
        <v>19201217</v>
      </c>
      <c r="C594" s="15">
        <v>19680131</v>
      </c>
      <c r="D594" s="15">
        <v>0</v>
      </c>
      <c r="E594" s="33"/>
      <c r="F594" s="33"/>
      <c r="H594" s="19">
        <f>VLOOKUP( $A594, Sovereignty!$A$2:$L$510, 12, 0 )</f>
        <v>0</v>
      </c>
    </row>
    <row r="595" spans="1:8" x14ac:dyDescent="0.2">
      <c r="A595" s="15" t="s">
        <v>2324</v>
      </c>
      <c r="B595" s="15">
        <v>18420909</v>
      </c>
      <c r="C595" s="15">
        <v>20261231</v>
      </c>
      <c r="D595" s="15" t="s">
        <v>881</v>
      </c>
      <c r="E595" s="33">
        <f>-17-34/60</f>
        <v>-17.566666666666666</v>
      </c>
      <c r="F595" s="33">
        <f>-149-36/60</f>
        <v>-149.6</v>
      </c>
      <c r="G595" s="25" t="s">
        <v>2323</v>
      </c>
      <c r="H595" s="19">
        <f>VLOOKUP( $A595, Sovereignty!$A$2:$L$510, 12, 0 )</f>
        <v>0</v>
      </c>
    </row>
    <row r="596" spans="1:8" x14ac:dyDescent="0.2">
      <c r="A596" s="15" t="s">
        <v>693</v>
      </c>
      <c r="B596" s="15">
        <v>19790712</v>
      </c>
      <c r="C596" s="15">
        <v>20261231</v>
      </c>
      <c r="D596" s="15" t="s">
        <v>294</v>
      </c>
      <c r="E596" s="33">
        <f>1+28/60</f>
        <v>1.4666666666666668</v>
      </c>
      <c r="F596" s="33">
        <f>173+2/60</f>
        <v>173.03333333333333</v>
      </c>
      <c r="G596" s="25" t="s">
        <v>2325</v>
      </c>
      <c r="H596" s="19">
        <f>VLOOKUP( $A596, Sovereignty!$A$2:$L$510, 12, 0 )</f>
        <v>0</v>
      </c>
    </row>
    <row r="597" spans="1:8" x14ac:dyDescent="0.2">
      <c r="A597" s="15" t="s">
        <v>883</v>
      </c>
      <c r="B597" s="15">
        <v>18530924</v>
      </c>
      <c r="C597" s="15">
        <v>20261231</v>
      </c>
      <c r="D597" s="15" t="s">
        <v>882</v>
      </c>
      <c r="E597" s="33">
        <f>-22-16/60</f>
        <v>-22.266666666666666</v>
      </c>
      <c r="F597" s="33">
        <f>166+28/60</f>
        <v>166.46666666666667</v>
      </c>
      <c r="G597" s="25" t="s">
        <v>2326</v>
      </c>
      <c r="H597" s="19">
        <f>VLOOKUP( $A597, Sovereignty!$A$2:$L$510, 12, 0 )</f>
        <v>0</v>
      </c>
    </row>
    <row r="598" spans="1:8" x14ac:dyDescent="0.2">
      <c r="A598" s="15" t="s">
        <v>692</v>
      </c>
      <c r="B598" s="15">
        <v>19760101</v>
      </c>
      <c r="C598" s="15">
        <v>19790712</v>
      </c>
      <c r="D598" s="15" t="s">
        <v>294</v>
      </c>
      <c r="E598" s="33">
        <f>1+28/60</f>
        <v>1.4666666666666668</v>
      </c>
      <c r="F598" s="33">
        <f>173+2/60</f>
        <v>173.03333333333333</v>
      </c>
      <c r="G598" s="25" t="s">
        <v>2325</v>
      </c>
      <c r="H598" s="19">
        <f>VLOOKUP( $A598, Sovereignty!$A$2:$L$510, 12, 0 )</f>
        <v>0</v>
      </c>
    </row>
    <row r="599" spans="1:8" x14ac:dyDescent="0.2">
      <c r="A599" s="15" t="s">
        <v>892</v>
      </c>
      <c r="B599" s="15">
        <v>19010611</v>
      </c>
      <c r="C599" s="15">
        <v>20261231</v>
      </c>
      <c r="D599" s="15" t="s">
        <v>891</v>
      </c>
      <c r="E599" s="33">
        <f>-21-12/60</f>
        <v>-21.2</v>
      </c>
      <c r="F599" s="33">
        <f>-159-46/60</f>
        <v>-159.76666666666668</v>
      </c>
      <c r="G599" s="25" t="s">
        <v>2327</v>
      </c>
      <c r="H599" s="19">
        <f>VLOOKUP( $A599, Sovereignty!$A$2:$L$510, 12, 0 )</f>
        <v>0</v>
      </c>
    </row>
    <row r="600" spans="1:8" x14ac:dyDescent="0.2">
      <c r="A600" s="15" t="s">
        <v>689</v>
      </c>
      <c r="B600" s="15">
        <v>19460101</v>
      </c>
      <c r="C600" s="15">
        <v>19760101</v>
      </c>
      <c r="D600" s="15" t="s">
        <v>294</v>
      </c>
      <c r="E600" s="33">
        <f>1+28/60</f>
        <v>1.4666666666666668</v>
      </c>
      <c r="F600" s="33">
        <f>173+2/60</f>
        <v>173.03333333333333</v>
      </c>
      <c r="G600" s="25" t="s">
        <v>2325</v>
      </c>
      <c r="H600" s="19">
        <f>VLOOKUP( $A600, Sovereignty!$A$2:$L$510, 12, 0 )</f>
        <v>0</v>
      </c>
    </row>
    <row r="601" spans="1:8" x14ac:dyDescent="0.2">
      <c r="A601" s="15" t="s">
        <v>689</v>
      </c>
      <c r="B601" s="15">
        <v>19420101</v>
      </c>
      <c r="C601" s="15">
        <v>19460101</v>
      </c>
      <c r="D601" s="15" t="s">
        <v>384</v>
      </c>
      <c r="E601" s="33">
        <f>-8-31/60</f>
        <v>-8.5166666666666675</v>
      </c>
      <c r="F601" s="33">
        <f>179+12/60</f>
        <v>179.2</v>
      </c>
      <c r="G601" s="25" t="s">
        <v>2330</v>
      </c>
      <c r="H601" s="19">
        <f>VLOOKUP( $A601, Sovereignty!$A$2:$L$510, 12, 0 )</f>
        <v>0</v>
      </c>
    </row>
    <row r="602" spans="1:8" x14ac:dyDescent="0.2">
      <c r="A602" s="15" t="s">
        <v>689</v>
      </c>
      <c r="B602" s="15">
        <v>19080101</v>
      </c>
      <c r="C602" s="15">
        <v>19420101</v>
      </c>
      <c r="D602" s="15" t="s">
        <v>628</v>
      </c>
      <c r="E602" s="33">
        <f>-51/60-34/3600</f>
        <v>-0.85944444444444446</v>
      </c>
      <c r="F602" s="33">
        <f>169+32/60+13/3600</f>
        <v>169.53694444444443</v>
      </c>
      <c r="G602" s="25" t="s">
        <v>2329</v>
      </c>
      <c r="H602" s="19">
        <f>VLOOKUP( $A602, Sovereignty!$A$2:$L$510, 12, 0 )</f>
        <v>0</v>
      </c>
    </row>
    <row r="603" spans="1:8" x14ac:dyDescent="0.2">
      <c r="A603" s="15" t="s">
        <v>689</v>
      </c>
      <c r="B603" s="15">
        <v>18950101</v>
      </c>
      <c r="C603" s="15">
        <v>19080101</v>
      </c>
      <c r="D603" s="15" t="s">
        <v>294</v>
      </c>
      <c r="E603" s="33">
        <f>1+28/60</f>
        <v>1.4666666666666668</v>
      </c>
      <c r="F603" s="33">
        <f>173+2/60</f>
        <v>173.03333333333333</v>
      </c>
      <c r="G603" s="25" t="s">
        <v>2325</v>
      </c>
      <c r="H603" s="19">
        <f>VLOOKUP( $A603, Sovereignty!$A$2:$L$510, 12, 0 )</f>
        <v>0</v>
      </c>
    </row>
    <row r="604" spans="1:8" x14ac:dyDescent="0.2">
      <c r="A604" s="15" t="s">
        <v>689</v>
      </c>
      <c r="B604" s="15">
        <v>18920101</v>
      </c>
      <c r="C604" s="15">
        <v>18950101</v>
      </c>
      <c r="D604" s="15"/>
      <c r="E604" s="33"/>
      <c r="F604" s="33"/>
      <c r="H604" s="19">
        <f>VLOOKUP( $A604, Sovereignty!$A$2:$L$510, 12, 0 )</f>
        <v>0</v>
      </c>
    </row>
    <row r="605" spans="1:8" x14ac:dyDescent="0.2">
      <c r="A605" s="15" t="s">
        <v>712</v>
      </c>
      <c r="B605" s="15">
        <v>19861021</v>
      </c>
      <c r="C605" s="15">
        <v>20261231</v>
      </c>
      <c r="D605" s="15" t="s">
        <v>313</v>
      </c>
      <c r="E605" s="33">
        <f>7+7/60</f>
        <v>7.1166666666666663</v>
      </c>
      <c r="F605" s="33">
        <f>171+4/60</f>
        <v>171.06666666666666</v>
      </c>
      <c r="G605" s="25" t="s">
        <v>2331</v>
      </c>
      <c r="H605" s="19">
        <f>VLOOKUP( $A605, Sovereignty!$A$2:$L$510, 12, 0 )</f>
        <v>0</v>
      </c>
    </row>
    <row r="606" spans="1:8" x14ac:dyDescent="0.2">
      <c r="A606" s="15" t="s">
        <v>699</v>
      </c>
      <c r="B606" s="15">
        <v>19470718</v>
      </c>
      <c r="C606" s="15">
        <v>19941001</v>
      </c>
      <c r="D606" s="15" t="s">
        <v>623</v>
      </c>
      <c r="E606" s="33">
        <f>15+11/60</f>
        <v>15.183333333333334</v>
      </c>
      <c r="F606" s="33">
        <f>145+45/60</f>
        <v>145.75</v>
      </c>
      <c r="G606" s="25" t="s">
        <v>2332</v>
      </c>
      <c r="H606" s="19">
        <f>VLOOKUP( $A606, Sovereignty!$A$2:$L$510, 12, 0 )</f>
        <v>0</v>
      </c>
    </row>
    <row r="607" spans="1:8" x14ac:dyDescent="0.2">
      <c r="A607" s="15" t="s">
        <v>2328</v>
      </c>
      <c r="B607" s="15">
        <v>19140929</v>
      </c>
      <c r="C607" s="15">
        <v>19470718</v>
      </c>
      <c r="D607" s="15" t="s">
        <v>621</v>
      </c>
      <c r="E607" s="33">
        <f>7+20.5167/60</f>
        <v>7.3419449999999999</v>
      </c>
      <c r="F607" s="33">
        <f>134+28.75/60</f>
        <v>134.47916666666666</v>
      </c>
      <c r="G607" s="25" t="s">
        <v>2333</v>
      </c>
      <c r="H607" s="19">
        <f>VLOOKUP( $A607, Sovereignty!$A$2:$L$510, 12, 0 )</f>
        <v>0</v>
      </c>
    </row>
    <row r="608" spans="1:8" x14ac:dyDescent="0.2">
      <c r="A608" s="15" t="s">
        <v>702</v>
      </c>
      <c r="B608" s="15">
        <v>19780109</v>
      </c>
      <c r="C608" s="15">
        <v>20261231</v>
      </c>
      <c r="D608" s="15" t="s">
        <v>623</v>
      </c>
      <c r="E608" s="33">
        <f>15+11/60</f>
        <v>15.183333333333334</v>
      </c>
      <c r="F608" s="33">
        <f>145+45/60</f>
        <v>145.75</v>
      </c>
      <c r="G608" s="25" t="s">
        <v>2332</v>
      </c>
      <c r="H608" s="19">
        <f>VLOOKUP( $A608, Sovereignty!$A$2:$L$510, 12, 0 )</f>
        <v>0</v>
      </c>
    </row>
    <row r="609" spans="1:8" x14ac:dyDescent="0.2">
      <c r="A609" s="15" t="s">
        <v>703</v>
      </c>
      <c r="B609" s="15">
        <v>18981210</v>
      </c>
      <c r="C609" s="15">
        <v>20261231</v>
      </c>
      <c r="D609" s="15" t="s">
        <v>705</v>
      </c>
      <c r="E609" s="33">
        <f>13+28/60+45/3600</f>
        <v>13.479166666666666</v>
      </c>
      <c r="F609" s="33">
        <f>144+45/60</f>
        <v>144.75</v>
      </c>
      <c r="G609" s="25" t="s">
        <v>2334</v>
      </c>
      <c r="H609" s="19">
        <f>VLOOKUP( $A609, Sovereignty!$A$2:$L$510, 12, 0 )</f>
        <v>0</v>
      </c>
    </row>
    <row r="610" spans="1:8" x14ac:dyDescent="0.2">
      <c r="A610" s="15" t="s">
        <v>713</v>
      </c>
      <c r="B610" s="15">
        <v>19861103</v>
      </c>
      <c r="C610" s="15">
        <v>20261231</v>
      </c>
      <c r="D610" s="15" t="s">
        <v>283</v>
      </c>
      <c r="E610" s="33">
        <f>6+55/60</f>
        <v>6.916666666666667</v>
      </c>
      <c r="F610" s="33">
        <f>158+11/60</f>
        <v>158.18333333333334</v>
      </c>
      <c r="G610" s="25" t="s">
        <v>2335</v>
      </c>
      <c r="H610" s="19">
        <f>VLOOKUP( $A610, Sovereignty!$A$2:$L$510, 12, 0 )</f>
        <v>0</v>
      </c>
    </row>
    <row r="611" spans="1:8" x14ac:dyDescent="0.2">
      <c r="A611" s="15" t="s">
        <v>709</v>
      </c>
      <c r="B611" s="15">
        <v>20060101</v>
      </c>
      <c r="C611" s="15">
        <v>20261231</v>
      </c>
      <c r="D611" s="15" t="s">
        <v>336</v>
      </c>
      <c r="E611" s="33">
        <f>7+30/60</f>
        <v>7.5</v>
      </c>
      <c r="F611" s="33">
        <f>134+37/60</f>
        <v>134.61666666666667</v>
      </c>
      <c r="G611" s="25" t="s">
        <v>2336</v>
      </c>
      <c r="H611" s="19">
        <f>VLOOKUP( $A611, Sovereignty!$A$2:$L$510, 12, 0 )</f>
        <v>0</v>
      </c>
    </row>
    <row r="612" spans="1:8" x14ac:dyDescent="0.2">
      <c r="A612" s="15" t="s">
        <v>709</v>
      </c>
      <c r="B612" s="15">
        <v>19941001</v>
      </c>
      <c r="C612" s="15">
        <v>20060101</v>
      </c>
      <c r="D612" s="15" t="s">
        <v>621</v>
      </c>
      <c r="E612" s="33">
        <f>7+20.5167/60</f>
        <v>7.3419449999999999</v>
      </c>
      <c r="F612" s="33">
        <f>134+28.75/60</f>
        <v>134.47916666666666</v>
      </c>
      <c r="G612" s="25" t="s">
        <v>2333</v>
      </c>
      <c r="H612" s="19">
        <f>VLOOKUP( $A612, Sovereignty!$A$2:$L$510, 12, 0 )</f>
        <v>0</v>
      </c>
    </row>
    <row r="613" spans="1:8" x14ac:dyDescent="0.2">
      <c r="A613" s="15" t="s">
        <v>1780</v>
      </c>
      <c r="B613" s="15">
        <v>15710101</v>
      </c>
      <c r="C613" s="15">
        <v>18981210</v>
      </c>
      <c r="D613" s="15" t="s">
        <v>341</v>
      </c>
      <c r="E613" s="33">
        <f>-14-35/60-29/3600</f>
        <v>-14.59138888888889</v>
      </c>
      <c r="F613" s="33">
        <f>120+58/60+25/3600</f>
        <v>120.97361111111111</v>
      </c>
      <c r="G613" s="25" t="s">
        <v>1781</v>
      </c>
      <c r="H613" s="19">
        <f>VLOOKUP( $A613, Sovereignty!$A$2:$L$510, 12, 0 )</f>
        <v>0</v>
      </c>
    </row>
  </sheetData>
  <conditionalFormatting sqref="E40:H85 H39:H85 E39:G39 A39:D85 A2:H38 A86:H615">
    <cfRule type="expression" dxfId="9" priority="2" stopIfTrue="1">
      <formula>($H2="x")</formula>
    </cfRule>
  </conditionalFormatting>
  <conditionalFormatting sqref="A2:G613">
    <cfRule type="expression" dxfId="8" priority="1">
      <formula>_xlfn.ISFORMULA(A2)</formula>
    </cfRule>
  </conditionalFormatting>
  <conditionalFormatting sqref="B1">
    <cfRule type="expression" dxfId="7" priority="6">
      <formula>_xlfn.ISFORMULA(B1)</formula>
    </cfRule>
    <cfRule type="expression" dxfId="6" priority="7" stopIfTrue="1">
      <formula>($H1="x")</formula>
    </cfRule>
  </conditionalFormatting>
  <hyperlinks>
    <hyperlink ref="G2" r:id="rId1" display="https://geohack.toolforge.org/geohack.php?pagename=Djibouti&amp;params=11_36_N_43_10_E_type:city_region:DJ" xr:uid="{FA8B3219-47A0-8947-888E-49763C86539E}"/>
    <hyperlink ref="G5" r:id="rId2" display="https://geohack.toolforge.org/geohack.php?pagename=Obock&amp;params=11_58_N_43_17_E_region:DJ_type:city(20152)" xr:uid="{BF008F29-9495-C94E-B8DC-03CAFB6F6023}"/>
    <hyperlink ref="G6" r:id="rId3" display="https://geohack.toolforge.org/geohack.php?pagename=Mogadishu&amp;params=02_02_21_N_45_20_31_E_region:SO-BN_type:city(3262129)" xr:uid="{B6CFCC40-71F2-0A4E-A0F1-4FF72247D336}"/>
    <hyperlink ref="G18" r:id="rId4" display="https://geohack.toolforge.org/geohack.php?pagename=Addis_Ababa&amp;params=9_1_48_N_38_44_24_E_type:city(2757729)_region:ET-AA" xr:uid="{785B1A49-729D-9D49-A634-5CCBB76C173F}"/>
    <hyperlink ref="G12" r:id="rId5" display="https://geohack.toolforge.org/geohack.php?pagename=Mogadishu&amp;params=02_02_21_N_45_20_31_E_region:SO-BN_type:city(3262129)" xr:uid="{A902ED72-8938-4B48-B5A1-42B9B6CC230E}"/>
    <hyperlink ref="G11" r:id="rId6" display="https://geohack.toolforge.org/geohack.php?pagename=Addis_Ababa&amp;params=9_1_48_N_38_44_24_E_type:city(2757729)_region:ET-AA" xr:uid="{D8EDF4FF-811C-1744-AD6A-703F33AF048F}"/>
    <hyperlink ref="G9" r:id="rId7" display="https://geohack.toolforge.org/geohack.php?pagename=Mogadishu&amp;params=02_02_21_N_45_20_31_E_region:SO-BN_type:city(3262129)" xr:uid="{1469BD60-079E-6E4B-A779-C67A321AF3CE}"/>
    <hyperlink ref="G10" r:id="rId8" display="https://geohack.toolforge.org/geohack.php?pagename=Mogadishu&amp;params=02_02_21_N_45_20_31_E_region:SO-BN_type:city(3262129)" xr:uid="{C8207087-181F-4F42-8DA7-D4B5C268B120}"/>
    <hyperlink ref="G7" r:id="rId9" display="https://geohack.toolforge.org/geohack.php?pagename=Berbera&amp;params=10_26_08_N_045_00_59_E_region:SO-WG_type:city(242344)" xr:uid="{4AE765C6-150F-184C-8C67-A8EDFA9B4F6B}"/>
    <hyperlink ref="G8" r:id="rId10" display="https://geohack.toolforge.org/geohack.php?pagename=Hargeisa&amp;params=9_33_40_N_44_04_00_E_region:SO-Mu_type:city(1200000)" xr:uid="{525E462F-1D6A-F944-A7D4-9B8A76E68FB7}"/>
    <hyperlink ref="G17" r:id="rId11" display="https://geohack.toolforge.org/geohack.php?pagename=Addis_Ababa&amp;params=9_1_48_N_38_44_24_E_type:city(2757729)_region:ET-AA" xr:uid="{3BEE2FDD-6BAC-284C-9974-98FB9A847A08}"/>
    <hyperlink ref="G20" r:id="rId12" display="https://geohack.toolforge.org/geohack.php?pagename=Debre_Tabor&amp;params=11_51_N_38_1_E_region:ET_type:city(55596)" xr:uid="{8741AAF2-5FDE-D142-8815-796BF8382D81}"/>
    <hyperlink ref="G19" r:id="rId13" display="https://geohack.toolforge.org/geohack.php?pagename=Mekelle&amp;params=13_29_49_N_39_28_37_E_region:ET-TI_type:city(525475)" xr:uid="{1BA968DE-C7C3-504D-BF69-2CE3BA41EED7}"/>
    <hyperlink ref="A5" r:id="rId14" xr:uid="{C40C625E-5217-F546-9FA6-582A5F51CF1E}"/>
    <hyperlink ref="A4" r:id="rId15" display="DJI_1897_FRA" xr:uid="{DD9D0296-8C81-0D46-8160-88374262EC12}"/>
    <hyperlink ref="A3" r:id="rId16" display="DJI_1967_FRA" xr:uid="{93A4D382-35A5-1742-A880-4B1F7E1E5910}"/>
    <hyperlink ref="G3:G4" r:id="rId17" display="https://geohack.toolforge.org/geohack.php?pagename=Djibouti&amp;params=11_36_N_43_10_E_type:city_region:DJ" xr:uid="{F358A9D4-15B2-F844-9EB2-D195391B6472}"/>
  </hyperlink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9FC8F-050F-9445-8DD6-71C8F2293011}">
  <sheetPr codeName="Sheet4"/>
  <dimension ref="A1:F610"/>
  <sheetViews>
    <sheetView showZeros="0" zoomScale="130" zoomScaleNormal="130" workbookViewId="0">
      <pane ySplit="1" topLeftCell="A204" activePane="bottomLeft" state="frozen"/>
      <selection pane="bottomLeft" activeCell="A185" sqref="A185:XFD223"/>
    </sheetView>
  </sheetViews>
  <sheetFormatPr baseColWidth="10" defaultRowHeight="16" x14ac:dyDescent="0.2"/>
  <cols>
    <col min="1" max="1" width="16.5" style="21" bestFit="1" customWidth="1"/>
    <col min="2" max="3" width="10.5" style="21" bestFit="1" customWidth="1"/>
    <col min="4" max="4" width="47.83203125" style="21" bestFit="1" customWidth="1"/>
    <col min="5" max="5" width="74.33203125" style="21" bestFit="1" customWidth="1"/>
    <col min="6" max="16384" width="10.83203125" style="21"/>
  </cols>
  <sheetData>
    <row r="1" spans="1:6" x14ac:dyDescent="0.2">
      <c r="A1" s="14" t="s">
        <v>666</v>
      </c>
      <c r="B1" s="18" t="s">
        <v>611</v>
      </c>
      <c r="C1" s="18" t="s">
        <v>612</v>
      </c>
      <c r="D1" s="18" t="s">
        <v>673</v>
      </c>
      <c r="E1" s="18" t="s">
        <v>674</v>
      </c>
      <c r="F1" s="18" t="s">
        <v>1257</v>
      </c>
    </row>
    <row r="2" spans="1:6" x14ac:dyDescent="0.2">
      <c r="A2" s="21" t="s">
        <v>781</v>
      </c>
      <c r="B2" s="15">
        <v>19770627</v>
      </c>
      <c r="C2" s="15">
        <v>20261231</v>
      </c>
      <c r="D2" s="15" t="s">
        <v>42</v>
      </c>
      <c r="E2" s="15" t="s">
        <v>780</v>
      </c>
      <c r="F2" s="19" t="str">
        <f>VLOOKUP( $A2, Sovereignty!$A$2:$L$510, 12, 0 )</f>
        <v>x</v>
      </c>
    </row>
    <row r="3" spans="1:6" x14ac:dyDescent="0.2">
      <c r="A3" s="21" t="s">
        <v>1247</v>
      </c>
      <c r="B3" s="15">
        <v>19670705</v>
      </c>
      <c r="C3" s="15">
        <v>19770627</v>
      </c>
      <c r="D3" s="15" t="s">
        <v>1250</v>
      </c>
      <c r="E3" s="21" t="s">
        <v>782</v>
      </c>
      <c r="F3" s="19" t="str">
        <f>VLOOKUP( $A3, Sovereignty!$A$2:$L$510, 12, 0 )</f>
        <v>x</v>
      </c>
    </row>
    <row r="4" spans="1:6" x14ac:dyDescent="0.2">
      <c r="A4" s="21" t="s">
        <v>1247</v>
      </c>
      <c r="B4" s="15">
        <v>18960520</v>
      </c>
      <c r="C4" s="15">
        <v>19670705</v>
      </c>
      <c r="D4" s="15" t="s">
        <v>614</v>
      </c>
      <c r="E4" s="21" t="s">
        <v>614</v>
      </c>
      <c r="F4" s="19" t="str">
        <f>VLOOKUP( $A4, Sovereignty!$A$2:$L$510, 12, 0 )</f>
        <v>x</v>
      </c>
    </row>
    <row r="5" spans="1:6" x14ac:dyDescent="0.2">
      <c r="A5" s="21" t="s">
        <v>1247</v>
      </c>
      <c r="B5" s="15">
        <v>18620311</v>
      </c>
      <c r="C5" s="15">
        <v>18960520</v>
      </c>
      <c r="D5" s="15" t="s">
        <v>1248</v>
      </c>
      <c r="E5" s="21" t="s">
        <v>1249</v>
      </c>
      <c r="F5" s="19" t="str">
        <f>VLOOKUP( $A5, Sovereignty!$A$2:$L$510, 12, 0 )</f>
        <v>x</v>
      </c>
    </row>
    <row r="6" spans="1:6" x14ac:dyDescent="0.2">
      <c r="A6" s="15" t="s">
        <v>909</v>
      </c>
      <c r="B6" s="15">
        <v>19600626</v>
      </c>
      <c r="C6" s="15">
        <v>20261231</v>
      </c>
      <c r="D6" s="15" t="s">
        <v>148</v>
      </c>
      <c r="E6" s="15" t="s">
        <v>1161</v>
      </c>
      <c r="F6" s="19" t="str">
        <f>VLOOKUP( $A6, Sovereignty!$A$2:$L$510, 12, 0 )</f>
        <v>x</v>
      </c>
    </row>
    <row r="7" spans="1:6" x14ac:dyDescent="0.2">
      <c r="A7" s="15" t="s">
        <v>1110</v>
      </c>
      <c r="B7" s="15">
        <v>18840101</v>
      </c>
      <c r="C7" s="15">
        <v>19600626</v>
      </c>
      <c r="D7" s="15" t="s">
        <v>1106</v>
      </c>
      <c r="E7" s="15" t="s">
        <v>1107</v>
      </c>
      <c r="F7" s="19" t="str">
        <f>VLOOKUP( $A7, Sovereignty!$A$2:$L$510, 12, 0 )</f>
        <v>x</v>
      </c>
    </row>
    <row r="8" spans="1:6" x14ac:dyDescent="0.2">
      <c r="A8" s="15" t="s">
        <v>1264</v>
      </c>
      <c r="B8" s="15">
        <v>19500401</v>
      </c>
      <c r="C8" s="15">
        <v>19600701</v>
      </c>
      <c r="D8" s="15" t="s">
        <v>1263</v>
      </c>
      <c r="E8" s="15" t="s">
        <v>1345</v>
      </c>
      <c r="F8" s="19" t="str">
        <f>VLOOKUP( $A8, Sovereignty!$A$2:$L$510, 12, 0 )</f>
        <v>x</v>
      </c>
    </row>
    <row r="9" spans="1:6" x14ac:dyDescent="0.2">
      <c r="A9" s="15" t="s">
        <v>1109</v>
      </c>
      <c r="B9" s="15">
        <v>19411127</v>
      </c>
      <c r="C9" s="15">
        <v>19500401</v>
      </c>
      <c r="D9" s="15" t="s">
        <v>1263</v>
      </c>
      <c r="E9" s="15" t="s">
        <v>2390</v>
      </c>
      <c r="F9" s="19" t="str">
        <f>VLOOKUP( $A9, Sovereignty!$A$2:$L$510, 12, 0 )</f>
        <v>x</v>
      </c>
    </row>
    <row r="10" spans="1:6" x14ac:dyDescent="0.2">
      <c r="A10" s="15" t="s">
        <v>1088</v>
      </c>
      <c r="B10" s="15">
        <v>19360509</v>
      </c>
      <c r="C10" s="15">
        <v>19411127</v>
      </c>
      <c r="D10" s="15" t="s">
        <v>1083</v>
      </c>
      <c r="E10" s="15" t="s">
        <v>1083</v>
      </c>
      <c r="F10" s="19" t="str">
        <f>VLOOKUP( $A10, Sovereignty!$A$2:$L$510, 12, 0 )</f>
        <v>x</v>
      </c>
    </row>
    <row r="11" spans="1:6" x14ac:dyDescent="0.2">
      <c r="A11" s="15" t="s">
        <v>1102</v>
      </c>
      <c r="B11" s="15">
        <v>18890208</v>
      </c>
      <c r="C11" s="15">
        <v>19360601</v>
      </c>
      <c r="D11" s="15" t="s">
        <v>1100</v>
      </c>
      <c r="E11" s="15" t="s">
        <v>1100</v>
      </c>
      <c r="F11" s="19" t="str">
        <f>VLOOKUP( $A11, Sovereignty!$A$2:$L$510, 12, 0 )</f>
        <v>x</v>
      </c>
    </row>
    <row r="12" spans="1:6" x14ac:dyDescent="0.2">
      <c r="A12" s="15" t="s">
        <v>1082</v>
      </c>
      <c r="B12" s="15">
        <v>19930524</v>
      </c>
      <c r="C12" s="15">
        <v>20261231</v>
      </c>
      <c r="D12" s="15" t="s">
        <v>50</v>
      </c>
      <c r="E12" s="15" t="s">
        <v>1086</v>
      </c>
      <c r="F12" s="19" t="str">
        <f>VLOOKUP( $A12, Sovereignty!$A$2:$L$510, 12, 0 )</f>
        <v>x</v>
      </c>
    </row>
    <row r="13" spans="1:6" x14ac:dyDescent="0.2">
      <c r="A13" s="15" t="s">
        <v>2449</v>
      </c>
      <c r="B13" s="15">
        <v>19520915</v>
      </c>
      <c r="C13" s="15">
        <v>19621114</v>
      </c>
      <c r="D13" s="15" t="s">
        <v>50</v>
      </c>
      <c r="E13" s="15" t="s">
        <v>50</v>
      </c>
      <c r="F13" s="19" t="str">
        <f>VLOOKUP( $A13, Sovereignty!$A$2:$L$510, 12, 0 )</f>
        <v>x</v>
      </c>
    </row>
    <row r="14" spans="1:6" x14ac:dyDescent="0.2">
      <c r="A14" s="15" t="s">
        <v>1089</v>
      </c>
      <c r="B14" s="15">
        <v>19411127</v>
      </c>
      <c r="C14" s="15">
        <v>19520915</v>
      </c>
      <c r="D14" s="15" t="s">
        <v>50</v>
      </c>
      <c r="E14" s="15" t="s">
        <v>1084</v>
      </c>
      <c r="F14" s="19" t="str">
        <f>VLOOKUP( $A14, Sovereignty!$A$2:$L$510, 12, 0 )</f>
        <v>x</v>
      </c>
    </row>
    <row r="15" spans="1:6" x14ac:dyDescent="0.2">
      <c r="A15" s="15" t="s">
        <v>1087</v>
      </c>
      <c r="B15" s="15">
        <v>18820705</v>
      </c>
      <c r="C15" s="15">
        <v>19360601</v>
      </c>
      <c r="D15" s="15" t="s">
        <v>1080</v>
      </c>
      <c r="E15" s="15" t="s">
        <v>1081</v>
      </c>
      <c r="F15" s="19" t="str">
        <f>VLOOKUP( $A15, Sovereignty!$A$2:$L$510, 12, 0 )</f>
        <v>x</v>
      </c>
    </row>
    <row r="16" spans="1:6" x14ac:dyDescent="0.2">
      <c r="A16" s="15" t="s">
        <v>1094</v>
      </c>
      <c r="B16" s="15">
        <v>19910701</v>
      </c>
      <c r="C16" s="15">
        <v>20261231</v>
      </c>
      <c r="D16" s="15" t="s">
        <v>53</v>
      </c>
      <c r="E16" s="15" t="s">
        <v>1272</v>
      </c>
      <c r="F16" s="19" t="str">
        <f>VLOOKUP( $A16, Sovereignty!$A$2:$L$510, 12, 0 )</f>
        <v>x</v>
      </c>
    </row>
    <row r="17" spans="1:6" x14ac:dyDescent="0.2">
      <c r="A17" s="15" t="s">
        <v>1094</v>
      </c>
      <c r="B17" s="15">
        <v>19740912</v>
      </c>
      <c r="C17" s="15">
        <v>19910701</v>
      </c>
      <c r="D17" s="15" t="s">
        <v>53</v>
      </c>
      <c r="E17" s="15" t="s">
        <v>1271</v>
      </c>
      <c r="F17" s="19" t="str">
        <f>VLOOKUP( $A17, Sovereignty!$A$2:$L$510, 12, 0 )</f>
        <v>x</v>
      </c>
    </row>
    <row r="18" spans="1:6" x14ac:dyDescent="0.2">
      <c r="A18" s="15" t="s">
        <v>1094</v>
      </c>
      <c r="B18" s="15">
        <v>19410505</v>
      </c>
      <c r="C18" s="15">
        <v>19740912</v>
      </c>
      <c r="D18" s="15" t="s">
        <v>53</v>
      </c>
      <c r="E18" s="15" t="s">
        <v>1090</v>
      </c>
      <c r="F18" s="19" t="str">
        <f>VLOOKUP( $A18, Sovereignty!$A$2:$L$510, 12, 0 )</f>
        <v>x</v>
      </c>
    </row>
    <row r="19" spans="1:6" x14ac:dyDescent="0.2">
      <c r="A19" s="15" t="s">
        <v>1095</v>
      </c>
      <c r="B19" s="15">
        <v>19310101</v>
      </c>
      <c r="C19" s="15">
        <v>19360509</v>
      </c>
      <c r="D19" s="15" t="s">
        <v>53</v>
      </c>
      <c r="E19" s="15" t="s">
        <v>1090</v>
      </c>
      <c r="F19" s="19" t="str">
        <f>VLOOKUP( $A19, Sovereignty!$A$2:$L$510, 12, 0 )</f>
        <v>x</v>
      </c>
    </row>
    <row r="20" spans="1:6" x14ac:dyDescent="0.2">
      <c r="A20" s="15" t="s">
        <v>1095</v>
      </c>
      <c r="B20" s="15">
        <v>18550211</v>
      </c>
      <c r="C20" s="15">
        <v>19310101</v>
      </c>
      <c r="D20" s="15" t="s">
        <v>53</v>
      </c>
      <c r="E20" s="15" t="s">
        <v>1090</v>
      </c>
      <c r="F20" s="19" t="str">
        <f>VLOOKUP( $A20, Sovereignty!$A$2:$L$510, 12, 0 )</f>
        <v>x</v>
      </c>
    </row>
    <row r="21" spans="1:6" x14ac:dyDescent="0.2">
      <c r="A21" s="15" t="s">
        <v>898</v>
      </c>
      <c r="B21" s="15">
        <v>19600815</v>
      </c>
      <c r="C21" s="15">
        <v>20261231</v>
      </c>
      <c r="D21" s="15" t="s">
        <v>2388</v>
      </c>
      <c r="E21" s="15" t="s">
        <v>130</v>
      </c>
      <c r="F21" s="19" t="str">
        <f>VLOOKUP( $A21, Sovereignty!$A$2:$L$510, 12, 0 )</f>
        <v>x</v>
      </c>
    </row>
    <row r="22" spans="1:6" x14ac:dyDescent="0.2">
      <c r="A22" s="15" t="s">
        <v>899</v>
      </c>
      <c r="B22" s="15">
        <v>19581128</v>
      </c>
      <c r="C22" s="15">
        <v>19600815</v>
      </c>
      <c r="D22" s="15" t="s">
        <v>130</v>
      </c>
      <c r="E22" s="15" t="s">
        <v>130</v>
      </c>
      <c r="F22" s="19" t="str">
        <f>VLOOKUP( $A22, Sovereignty!$A$2:$L$510, 12, 0 )</f>
        <v>x</v>
      </c>
    </row>
    <row r="23" spans="1:6" x14ac:dyDescent="0.2">
      <c r="A23" s="15" t="s">
        <v>895</v>
      </c>
      <c r="B23" s="15">
        <v>19100115</v>
      </c>
      <c r="C23" s="15">
        <v>19581128</v>
      </c>
      <c r="D23" s="15" t="s">
        <v>894</v>
      </c>
      <c r="E23" s="15" t="s">
        <v>894</v>
      </c>
      <c r="F23" s="19" t="str">
        <f>VLOOKUP( $A23, Sovereignty!$A$2:$L$510, 12, 0 )</f>
        <v>x</v>
      </c>
    </row>
    <row r="24" spans="1:6" x14ac:dyDescent="0.2">
      <c r="A24" s="15" t="s">
        <v>900</v>
      </c>
      <c r="B24" s="15">
        <v>19030101</v>
      </c>
      <c r="C24" s="15">
        <v>19100115</v>
      </c>
      <c r="D24" s="15" t="s">
        <v>897</v>
      </c>
      <c r="E24" s="15" t="s">
        <v>897</v>
      </c>
      <c r="F24" s="19" t="str">
        <f>VLOOKUP( $A24, Sovereignty!$A$2:$L$510, 12, 0 )</f>
        <v>x</v>
      </c>
    </row>
    <row r="25" spans="1:6" x14ac:dyDescent="0.2">
      <c r="A25" s="15" t="s">
        <v>900</v>
      </c>
      <c r="B25" s="15">
        <v>18821130</v>
      </c>
      <c r="C25" s="15">
        <v>19030101</v>
      </c>
      <c r="D25" s="15" t="s">
        <v>896</v>
      </c>
      <c r="E25" s="15" t="s">
        <v>896</v>
      </c>
      <c r="F25" s="19" t="str">
        <f>VLOOKUP( $A25, Sovereignty!$A$2:$L$510, 12, 0 )</f>
        <v>x</v>
      </c>
    </row>
    <row r="26" spans="1:6" x14ac:dyDescent="0.2">
      <c r="A26" s="15" t="s">
        <v>1042</v>
      </c>
      <c r="B26" s="15">
        <v>19600817</v>
      </c>
      <c r="C26" s="15">
        <v>20261231</v>
      </c>
      <c r="D26" s="15" t="s">
        <v>56</v>
      </c>
      <c r="E26" s="15" t="s">
        <v>1038</v>
      </c>
      <c r="F26" s="19" t="str">
        <f>VLOOKUP( $A26, Sovereignty!$A$2:$L$510, 12, 0 )</f>
        <v>x</v>
      </c>
    </row>
    <row r="27" spans="1:6" x14ac:dyDescent="0.2">
      <c r="A27" s="15" t="s">
        <v>1043</v>
      </c>
      <c r="B27" s="15">
        <v>19581128</v>
      </c>
      <c r="C27" s="15">
        <v>19600817</v>
      </c>
      <c r="D27" s="15" t="s">
        <v>56</v>
      </c>
      <c r="E27" s="15" t="s">
        <v>1038</v>
      </c>
      <c r="F27" s="19" t="str">
        <f>VLOOKUP( $A27, Sovereignty!$A$2:$L$510, 12, 0 )</f>
        <v>x</v>
      </c>
    </row>
    <row r="28" spans="1:6" x14ac:dyDescent="0.2">
      <c r="A28" s="15" t="s">
        <v>1045</v>
      </c>
      <c r="B28" s="15">
        <v>18850101</v>
      </c>
      <c r="C28" s="15">
        <v>19100115</v>
      </c>
      <c r="D28" s="15" t="s">
        <v>1278</v>
      </c>
      <c r="E28" s="15" t="s">
        <v>1278</v>
      </c>
      <c r="F28" s="19" t="str">
        <f>VLOOKUP( $A28, Sovereignty!$A$2:$L$510, 12, 0 )</f>
        <v>x</v>
      </c>
    </row>
    <row r="29" spans="1:6" x14ac:dyDescent="0.2">
      <c r="A29" s="15" t="s">
        <v>1280</v>
      </c>
      <c r="B29" s="15">
        <v>19600813</v>
      </c>
      <c r="C29" s="15">
        <v>20261231</v>
      </c>
      <c r="D29" s="15" t="s">
        <v>30</v>
      </c>
      <c r="E29" s="15" t="s">
        <v>30</v>
      </c>
      <c r="F29" s="19" t="str">
        <f>VLOOKUP( $A29, Sovereignty!$A$2:$L$510, 12, 0 )</f>
        <v>x</v>
      </c>
    </row>
    <row r="30" spans="1:6" x14ac:dyDescent="0.2">
      <c r="A30" s="15" t="s">
        <v>1165</v>
      </c>
      <c r="B30" s="15">
        <v>19581201</v>
      </c>
      <c r="C30" s="15">
        <v>19600813</v>
      </c>
      <c r="D30" s="15" t="s">
        <v>30</v>
      </c>
      <c r="E30" s="15" t="s">
        <v>30</v>
      </c>
      <c r="F30" s="19" t="str">
        <f>VLOOKUP( $A30, Sovereignty!$A$2:$L$510, 12, 0 )</f>
        <v>x</v>
      </c>
    </row>
    <row r="31" spans="1:6" x14ac:dyDescent="0.2">
      <c r="A31" s="15" t="s">
        <v>1164</v>
      </c>
      <c r="B31" s="15">
        <v>19031229</v>
      </c>
      <c r="C31" s="15">
        <v>19100115</v>
      </c>
      <c r="D31" s="15" t="s">
        <v>1159</v>
      </c>
      <c r="E31" s="15" t="s">
        <v>1162</v>
      </c>
      <c r="F31" s="19" t="str">
        <f>VLOOKUP( $A31, Sovereignty!$A$2:$L$510, 12, 0 )</f>
        <v>x</v>
      </c>
    </row>
    <row r="32" spans="1:6" x14ac:dyDescent="0.2">
      <c r="A32" s="15" t="s">
        <v>925</v>
      </c>
      <c r="B32" s="15">
        <v>19600811</v>
      </c>
      <c r="C32" s="15">
        <v>20261231</v>
      </c>
      <c r="D32" s="15" t="s">
        <v>31</v>
      </c>
      <c r="E32" s="15" t="s">
        <v>1288</v>
      </c>
      <c r="F32" s="19" t="str">
        <f>VLOOKUP( $A32, Sovereignty!$A$2:$L$510, 12, 0 )</f>
        <v>x</v>
      </c>
    </row>
    <row r="33" spans="1:6" x14ac:dyDescent="0.2">
      <c r="A33" s="15" t="s">
        <v>1285</v>
      </c>
      <c r="B33" s="15">
        <v>19000905</v>
      </c>
      <c r="C33" s="15">
        <v>19100115</v>
      </c>
      <c r="D33" s="15" t="s">
        <v>1284</v>
      </c>
      <c r="E33" s="15" t="s">
        <v>1284</v>
      </c>
      <c r="F33" s="19" t="str">
        <f>VLOOKUP( $A33, Sovereignty!$A$2:$L$510, 12, 0 )</f>
        <v>x</v>
      </c>
    </row>
    <row r="34" spans="1:6" x14ac:dyDescent="0.2">
      <c r="A34" s="15" t="s">
        <v>901</v>
      </c>
      <c r="B34" s="15">
        <v>19750705</v>
      </c>
      <c r="C34" s="15">
        <v>20261231</v>
      </c>
      <c r="D34" s="15" t="s">
        <v>222</v>
      </c>
      <c r="E34" s="15" t="s">
        <v>1021</v>
      </c>
      <c r="F34" s="19" t="str">
        <f>VLOOKUP( $A34, Sovereignty!$A$2:$L$510, 12, 0 )</f>
        <v>x</v>
      </c>
    </row>
    <row r="35" spans="1:6" x14ac:dyDescent="0.2">
      <c r="A35" s="15" t="s">
        <v>1022</v>
      </c>
      <c r="B35" s="15">
        <v>14620101</v>
      </c>
      <c r="C35" s="15">
        <v>19750705</v>
      </c>
      <c r="D35" s="15" t="s">
        <v>222</v>
      </c>
      <c r="E35" s="15" t="s">
        <v>1040</v>
      </c>
      <c r="F35" s="19" t="str">
        <f>VLOOKUP( $A35, Sovereignty!$A$2:$L$510, 12, 0 )</f>
        <v>x</v>
      </c>
    </row>
    <row r="36" spans="1:6" x14ac:dyDescent="0.2">
      <c r="A36" s="15" t="s">
        <v>903</v>
      </c>
      <c r="B36" s="15">
        <v>19601128</v>
      </c>
      <c r="C36" s="15">
        <v>20261231</v>
      </c>
      <c r="D36" s="15" t="s">
        <v>100</v>
      </c>
      <c r="E36" s="15" t="s">
        <v>1029</v>
      </c>
      <c r="F36" s="19">
        <f>VLOOKUP( $A36, Sovereignty!$A$2:$L$510, 12, 0 )</f>
        <v>0</v>
      </c>
    </row>
    <row r="37" spans="1:6" x14ac:dyDescent="0.2">
      <c r="A37" s="15" t="s">
        <v>1028</v>
      </c>
      <c r="B37" s="15">
        <v>19581128</v>
      </c>
      <c r="C37" s="15">
        <v>19601128</v>
      </c>
      <c r="D37" s="15" t="s">
        <v>1293</v>
      </c>
      <c r="E37" s="15" t="s">
        <v>1029</v>
      </c>
      <c r="F37" s="19">
        <f>VLOOKUP( $A37, Sovereignty!$A$2:$L$510, 12, 0 )</f>
        <v>0</v>
      </c>
    </row>
    <row r="38" spans="1:6" x14ac:dyDescent="0.2">
      <c r="A38" s="15" t="s">
        <v>1030</v>
      </c>
      <c r="B38" s="15">
        <v>18951027</v>
      </c>
      <c r="C38" s="15">
        <v>19581218</v>
      </c>
      <c r="D38" s="15" t="s">
        <v>1026</v>
      </c>
      <c r="E38" s="15" t="s">
        <v>1026</v>
      </c>
      <c r="F38" s="19">
        <f>VLOOKUP( $A38, Sovereignty!$A$2:$L$510, 12, 0 )</f>
        <v>0</v>
      </c>
    </row>
    <row r="39" spans="1:6" x14ac:dyDescent="0.2">
      <c r="A39" s="15" t="s">
        <v>1070</v>
      </c>
      <c r="B39" s="15">
        <v>19600620</v>
      </c>
      <c r="C39" s="15">
        <v>19600820</v>
      </c>
      <c r="D39" s="15" t="s">
        <v>1071</v>
      </c>
      <c r="E39" s="15" t="s">
        <v>1071</v>
      </c>
      <c r="F39" s="19">
        <f>VLOOKUP( $A39, Sovereignty!$A$2:$L$510, 12, 0 )</f>
        <v>0</v>
      </c>
    </row>
    <row r="40" spans="1:6" x14ac:dyDescent="0.2">
      <c r="A40" s="15" t="s">
        <v>923</v>
      </c>
      <c r="B40" s="15">
        <v>19600820</v>
      </c>
      <c r="C40" s="15">
        <v>20261231</v>
      </c>
      <c r="D40" s="15" t="s">
        <v>141</v>
      </c>
      <c r="E40" s="15" t="s">
        <v>1188</v>
      </c>
      <c r="F40" s="19">
        <f>VLOOKUP( $A40, Sovereignty!$A$2:$L$510, 12, 0 )</f>
        <v>0</v>
      </c>
    </row>
    <row r="41" spans="1:6" x14ac:dyDescent="0.2">
      <c r="A41" s="15" t="s">
        <v>1187</v>
      </c>
      <c r="B41" s="15">
        <v>19581125</v>
      </c>
      <c r="C41" s="15">
        <v>19600620</v>
      </c>
      <c r="D41" s="15" t="s">
        <v>1296</v>
      </c>
      <c r="E41" s="15" t="s">
        <v>1188</v>
      </c>
      <c r="F41" s="19">
        <f>VLOOKUP( $A41, Sovereignty!$A$2:$L$510, 12, 0 )</f>
        <v>0</v>
      </c>
    </row>
    <row r="42" spans="1:6" x14ac:dyDescent="0.2">
      <c r="A42" s="15" t="s">
        <v>934</v>
      </c>
      <c r="B42" s="15">
        <v>19650218</v>
      </c>
      <c r="C42" s="15">
        <v>20261231</v>
      </c>
      <c r="D42" s="15" t="s">
        <v>1190</v>
      </c>
      <c r="E42" s="15" t="s">
        <v>1191</v>
      </c>
      <c r="F42" s="19">
        <f>VLOOKUP( $A42, Sovereignty!$A$2:$L$510, 12, 0 )</f>
        <v>0</v>
      </c>
    </row>
    <row r="43" spans="1:6" x14ac:dyDescent="0.2">
      <c r="A43" s="15" t="s">
        <v>1194</v>
      </c>
      <c r="B43" s="15">
        <v>18161017</v>
      </c>
      <c r="C43" s="15">
        <v>19650218</v>
      </c>
      <c r="D43" s="15" t="s">
        <v>1190</v>
      </c>
      <c r="E43" s="15" t="s">
        <v>1192</v>
      </c>
      <c r="F43" s="19">
        <f>VLOOKUP( $A43, Sovereignty!$A$2:$L$510, 12, 0 )</f>
        <v>0</v>
      </c>
    </row>
    <row r="44" spans="1:6" x14ac:dyDescent="0.2">
      <c r="A44" s="15" t="s">
        <v>915</v>
      </c>
      <c r="B44" s="15">
        <v>19581002</v>
      </c>
      <c r="C44" s="15">
        <v>20261231</v>
      </c>
      <c r="D44" s="15" t="s">
        <v>1302</v>
      </c>
      <c r="E44" s="15" t="s">
        <v>1166</v>
      </c>
      <c r="F44" s="19">
        <f>VLOOKUP( $A44, Sovereignty!$A$2:$L$510, 12, 0 )</f>
        <v>0</v>
      </c>
    </row>
    <row r="45" spans="1:6" x14ac:dyDescent="0.2">
      <c r="A45" s="15" t="s">
        <v>1299</v>
      </c>
      <c r="B45" s="15">
        <v>18910101</v>
      </c>
      <c r="C45" s="15">
        <v>18951027</v>
      </c>
      <c r="D45" s="15" t="s">
        <v>1302</v>
      </c>
      <c r="E45" s="15" t="s">
        <v>1301</v>
      </c>
      <c r="F45" s="19">
        <f>VLOOKUP( $A45, Sovereignty!$A$2:$L$510, 12, 0 )</f>
        <v>0</v>
      </c>
    </row>
    <row r="46" spans="1:6" x14ac:dyDescent="0.2">
      <c r="A46" s="15" t="s">
        <v>1046</v>
      </c>
      <c r="B46" s="15">
        <v>19740910</v>
      </c>
      <c r="C46" s="15">
        <v>20261231</v>
      </c>
      <c r="D46" s="15" t="s">
        <v>63</v>
      </c>
      <c r="E46" s="15" t="s">
        <v>1039</v>
      </c>
      <c r="F46" s="19">
        <f>VLOOKUP( $A46, Sovereignty!$A$2:$L$510, 12, 0 )</f>
        <v>0</v>
      </c>
    </row>
    <row r="47" spans="1:6" x14ac:dyDescent="0.2">
      <c r="A47" s="15" t="s">
        <v>1047</v>
      </c>
      <c r="B47" s="15">
        <v>18790101</v>
      </c>
      <c r="C47" s="15">
        <v>19740910</v>
      </c>
      <c r="D47" s="15" t="s">
        <v>1041</v>
      </c>
      <c r="E47" s="15" t="s">
        <v>1048</v>
      </c>
      <c r="F47" s="19">
        <f>VLOOKUP( $A47, Sovereignty!$A$2:$L$510, 12, 0 )</f>
        <v>0</v>
      </c>
    </row>
    <row r="48" spans="1:6" x14ac:dyDescent="0.2">
      <c r="A48" s="15" t="s">
        <v>902</v>
      </c>
      <c r="B48" s="15">
        <v>18470726</v>
      </c>
      <c r="C48" s="15">
        <v>20261231</v>
      </c>
      <c r="D48" s="15" t="s">
        <v>88</v>
      </c>
      <c r="E48" s="15" t="s">
        <v>1023</v>
      </c>
      <c r="F48" s="19">
        <f>VLOOKUP( $A48, Sovereignty!$A$2:$L$510, 12, 0 )</f>
        <v>0</v>
      </c>
    </row>
    <row r="49" spans="1:6" x14ac:dyDescent="0.2">
      <c r="A49" s="15" t="s">
        <v>1306</v>
      </c>
      <c r="B49" s="15">
        <v>18220107</v>
      </c>
      <c r="C49" s="15">
        <v>18470726</v>
      </c>
      <c r="D49" s="15" t="s">
        <v>88</v>
      </c>
      <c r="E49" s="15" t="s">
        <v>1024</v>
      </c>
      <c r="F49" s="19">
        <f>VLOOKUP( $A49, Sovereignty!$A$2:$L$510, 12, 0 )</f>
        <v>0</v>
      </c>
    </row>
    <row r="50" spans="1:6" x14ac:dyDescent="0.2">
      <c r="A50" s="15" t="s">
        <v>933</v>
      </c>
      <c r="B50" s="15">
        <v>19600807</v>
      </c>
      <c r="C50" s="15">
        <v>20261231</v>
      </c>
      <c r="D50" s="15" t="s">
        <v>234</v>
      </c>
      <c r="E50" s="15" t="s">
        <v>1199</v>
      </c>
      <c r="F50" s="19">
        <f>VLOOKUP( $A50, Sovereignty!$A$2:$L$510, 12, 0 )</f>
        <v>0</v>
      </c>
    </row>
    <row r="51" spans="1:6" x14ac:dyDescent="0.2">
      <c r="A51" s="15" t="s">
        <v>1307</v>
      </c>
      <c r="B51" s="15">
        <v>19581204</v>
      </c>
      <c r="C51" s="15">
        <v>19600807</v>
      </c>
      <c r="D51" s="15" t="s">
        <v>234</v>
      </c>
      <c r="E51" s="15" t="s">
        <v>1199</v>
      </c>
      <c r="F51" s="19">
        <f>VLOOKUP( $A51, Sovereignty!$A$2:$L$510, 12, 0 )</f>
        <v>0</v>
      </c>
    </row>
    <row r="52" spans="1:6" x14ac:dyDescent="0.2">
      <c r="A52" s="15" t="s">
        <v>1200</v>
      </c>
      <c r="B52" s="15">
        <v>18930310</v>
      </c>
      <c r="C52" s="15">
        <v>19581204</v>
      </c>
      <c r="D52" s="15" t="s">
        <v>234</v>
      </c>
      <c r="E52" s="15" t="s">
        <v>1195</v>
      </c>
      <c r="F52" s="19">
        <f>VLOOKUP( $A52, Sovereignty!$A$2:$L$510, 12, 0 )</f>
        <v>0</v>
      </c>
    </row>
    <row r="53" spans="1:6" x14ac:dyDescent="0.2">
      <c r="A53" s="15" t="s">
        <v>1456</v>
      </c>
      <c r="B53" s="15">
        <v>19600701</v>
      </c>
      <c r="C53" s="15">
        <v>20261231</v>
      </c>
      <c r="D53" s="15" t="s">
        <v>58</v>
      </c>
      <c r="E53" s="15" t="s">
        <v>1209</v>
      </c>
      <c r="F53" s="19">
        <f>VLOOKUP( $A53, Sovereignty!$A$2:$L$510, 12, 0 )</f>
        <v>0</v>
      </c>
    </row>
    <row r="54" spans="1:6" x14ac:dyDescent="0.2">
      <c r="A54" s="15" t="s">
        <v>1456</v>
      </c>
      <c r="B54" s="15">
        <v>19570306</v>
      </c>
      <c r="C54" s="15">
        <v>19600701</v>
      </c>
      <c r="D54" s="15" t="s">
        <v>58</v>
      </c>
      <c r="E54" s="15" t="s">
        <v>1314</v>
      </c>
      <c r="F54" s="19">
        <f>VLOOKUP( $A54, Sovereignty!$A$2:$L$510, 12, 0 )</f>
        <v>0</v>
      </c>
    </row>
    <row r="55" spans="1:6" x14ac:dyDescent="0.2">
      <c r="A55" s="15" t="s">
        <v>906</v>
      </c>
      <c r="B55" s="15">
        <v>19600427</v>
      </c>
      <c r="C55" s="15">
        <v>20261231</v>
      </c>
      <c r="D55" s="15" t="s">
        <v>163</v>
      </c>
      <c r="E55" s="15" t="s">
        <v>1052</v>
      </c>
      <c r="F55" s="19">
        <f>VLOOKUP( $A55, Sovereignty!$A$2:$L$510, 12, 0 )</f>
        <v>0</v>
      </c>
    </row>
    <row r="56" spans="1:6" x14ac:dyDescent="0.2">
      <c r="A56" s="15" t="s">
        <v>2361</v>
      </c>
      <c r="B56" s="15">
        <v>19560910</v>
      </c>
      <c r="C56" s="15">
        <v>19600427</v>
      </c>
      <c r="D56" s="15" t="s">
        <v>163</v>
      </c>
      <c r="E56" s="15" t="s">
        <v>1316</v>
      </c>
      <c r="F56" s="19">
        <f>VLOOKUP( $A56, Sovereignty!$A$2:$L$510, 12, 0 )</f>
        <v>0</v>
      </c>
    </row>
    <row r="57" spans="1:6" x14ac:dyDescent="0.2">
      <c r="A57" s="15" t="s">
        <v>1057</v>
      </c>
      <c r="B57" s="15">
        <v>18840705</v>
      </c>
      <c r="C57" s="15">
        <v>19161227</v>
      </c>
      <c r="D57" s="15" t="s">
        <v>1053</v>
      </c>
      <c r="E57" s="15" t="s">
        <v>1054</v>
      </c>
      <c r="F57" s="19">
        <f>VLOOKUP( $A57, Sovereignty!$A$2:$L$510, 12, 0 )</f>
        <v>0</v>
      </c>
    </row>
    <row r="58" spans="1:6" x14ac:dyDescent="0.2">
      <c r="A58" s="15" t="s">
        <v>1060</v>
      </c>
      <c r="B58" s="15">
        <v>19161227</v>
      </c>
      <c r="C58" s="15">
        <v>19560910</v>
      </c>
      <c r="D58" s="15" t="s">
        <v>1058</v>
      </c>
      <c r="E58" s="15" t="s">
        <v>1059</v>
      </c>
      <c r="F58" s="19">
        <f>VLOOKUP( $A58, Sovereignty!$A$2:$L$510, 12, 0 )</f>
        <v>0</v>
      </c>
    </row>
    <row r="59" spans="1:6" x14ac:dyDescent="0.2">
      <c r="A59" s="15" t="s">
        <v>1063</v>
      </c>
      <c r="B59" s="15">
        <v>19610427</v>
      </c>
      <c r="C59" s="15">
        <v>20261231</v>
      </c>
      <c r="D59" s="15" t="s">
        <v>143</v>
      </c>
      <c r="E59" s="15" t="s">
        <v>1344</v>
      </c>
      <c r="F59" s="19">
        <f>VLOOKUP( $A59, Sovereignty!$A$2:$L$510, 12, 0 )</f>
        <v>0</v>
      </c>
    </row>
    <row r="60" spans="1:6" x14ac:dyDescent="0.2">
      <c r="A60" s="15" t="s">
        <v>1065</v>
      </c>
      <c r="B60" s="15">
        <v>18960831</v>
      </c>
      <c r="C60" s="15">
        <v>19610427</v>
      </c>
      <c r="D60" s="15" t="s">
        <v>1319</v>
      </c>
      <c r="E60" s="15" t="s">
        <v>1321</v>
      </c>
      <c r="F60" s="19">
        <f>VLOOKUP( $A60, Sovereignty!$A$2:$L$510, 12, 0 )</f>
        <v>0</v>
      </c>
    </row>
    <row r="61" spans="1:6" x14ac:dyDescent="0.2">
      <c r="A61" s="15" t="s">
        <v>1065</v>
      </c>
      <c r="B61" s="15">
        <v>18080101</v>
      </c>
      <c r="C61" s="15">
        <v>18960831</v>
      </c>
      <c r="D61" s="15" t="s">
        <v>1319</v>
      </c>
      <c r="E61" s="15" t="s">
        <v>1064</v>
      </c>
      <c r="F61" s="19">
        <f>VLOOKUP( $A61, Sovereignty!$A$2:$L$510, 12, 0 )</f>
        <v>0</v>
      </c>
    </row>
    <row r="62" spans="1:6" x14ac:dyDescent="0.2">
      <c r="A62" s="15" t="s">
        <v>907</v>
      </c>
      <c r="B62" s="15">
        <v>19600820</v>
      </c>
      <c r="C62" s="15">
        <v>20261231</v>
      </c>
      <c r="D62" s="15" t="s">
        <v>97</v>
      </c>
      <c r="E62" s="15" t="s">
        <v>1160</v>
      </c>
      <c r="F62" s="19">
        <f>VLOOKUP( $A62, Sovereignty!$A$2:$L$510, 12, 0 )</f>
        <v>0</v>
      </c>
    </row>
    <row r="63" spans="1:6" x14ac:dyDescent="0.2">
      <c r="A63" s="15" t="s">
        <v>1068</v>
      </c>
      <c r="B63" s="15">
        <v>19581124</v>
      </c>
      <c r="C63" s="15">
        <v>19600620</v>
      </c>
      <c r="D63" s="15" t="s">
        <v>1069</v>
      </c>
      <c r="E63" s="15" t="s">
        <v>1069</v>
      </c>
      <c r="F63" s="19">
        <f>VLOOKUP( $A63, Sovereignty!$A$2:$L$510, 12, 0 )</f>
        <v>0</v>
      </c>
    </row>
    <row r="64" spans="1:6" x14ac:dyDescent="0.2">
      <c r="A64" s="15" t="s">
        <v>1323</v>
      </c>
      <c r="B64" s="15">
        <v>18900818</v>
      </c>
      <c r="C64" s="15">
        <v>19581124</v>
      </c>
      <c r="D64" s="15" t="s">
        <v>1066</v>
      </c>
      <c r="E64" s="15" t="s">
        <v>1066</v>
      </c>
      <c r="F64" s="19">
        <f>VLOOKUP( $A64, Sovereignty!$A$2:$L$510, 12, 0 )</f>
        <v>0</v>
      </c>
    </row>
    <row r="65" spans="1:6" x14ac:dyDescent="0.2">
      <c r="A65" s="15" t="s">
        <v>918</v>
      </c>
      <c r="B65" s="15">
        <v>19840802</v>
      </c>
      <c r="C65" s="15">
        <v>20261231</v>
      </c>
      <c r="D65" s="15" t="s">
        <v>25</v>
      </c>
      <c r="E65" s="15" t="s">
        <v>25</v>
      </c>
      <c r="F65" s="19">
        <f>VLOOKUP( $A65, Sovereignty!$A$2:$L$510, 12, 0 )</f>
        <v>0</v>
      </c>
    </row>
    <row r="66" spans="1:6" x14ac:dyDescent="0.2">
      <c r="A66" s="15" t="s">
        <v>918</v>
      </c>
      <c r="B66" s="15">
        <v>19600805</v>
      </c>
      <c r="C66" s="15">
        <v>19840802</v>
      </c>
      <c r="D66" s="15" t="s">
        <v>1328</v>
      </c>
      <c r="E66" s="15" t="s">
        <v>1328</v>
      </c>
      <c r="F66" s="19">
        <f>VLOOKUP( $A66, Sovereignty!$A$2:$L$510, 12, 0 )</f>
        <v>0</v>
      </c>
    </row>
    <row r="67" spans="1:6" x14ac:dyDescent="0.2">
      <c r="A67" s="15" t="s">
        <v>1186</v>
      </c>
      <c r="B67" s="15">
        <v>19581211</v>
      </c>
      <c r="C67" s="15">
        <v>19600805</v>
      </c>
      <c r="D67" s="15" t="s">
        <v>1184</v>
      </c>
      <c r="E67" s="15" t="s">
        <v>1185</v>
      </c>
      <c r="F67" s="19">
        <f>VLOOKUP( $A67, Sovereignty!$A$2:$L$510, 12, 0 )</f>
        <v>0</v>
      </c>
    </row>
    <row r="68" spans="1:6" x14ac:dyDescent="0.2">
      <c r="A68" s="15" t="s">
        <v>928</v>
      </c>
      <c r="B68" s="15">
        <v>19600803</v>
      </c>
      <c r="C68" s="15">
        <v>20261231</v>
      </c>
      <c r="D68" s="15" t="s">
        <v>115</v>
      </c>
      <c r="E68" s="15" t="s">
        <v>1203</v>
      </c>
      <c r="F68" s="19">
        <f>VLOOKUP( $A68, Sovereignty!$A$2:$L$510, 12, 0 )</f>
        <v>0</v>
      </c>
    </row>
    <row r="69" spans="1:6" x14ac:dyDescent="0.2">
      <c r="A69" s="15" t="s">
        <v>1202</v>
      </c>
      <c r="B69" s="15">
        <v>19581218</v>
      </c>
      <c r="C69" s="15">
        <v>19600803</v>
      </c>
      <c r="D69" s="15" t="s">
        <v>115</v>
      </c>
      <c r="E69" s="15" t="s">
        <v>1201</v>
      </c>
      <c r="F69" s="19">
        <f>VLOOKUP( $A69, Sovereignty!$A$2:$L$510, 12, 0 )</f>
        <v>0</v>
      </c>
    </row>
    <row r="70" spans="1:6" x14ac:dyDescent="0.2">
      <c r="A70" s="15" t="s">
        <v>931</v>
      </c>
      <c r="B70" s="15">
        <v>19901202</v>
      </c>
      <c r="C70" s="15">
        <v>20261231</v>
      </c>
      <c r="D70" s="15" t="s">
        <v>17</v>
      </c>
      <c r="E70" s="15" t="s">
        <v>1221</v>
      </c>
      <c r="F70" s="19">
        <f>VLOOKUP( $A70, Sovereignty!$A$2:$L$510, 12, 0 )</f>
        <v>0</v>
      </c>
    </row>
    <row r="71" spans="1:6" x14ac:dyDescent="0.2">
      <c r="A71" s="15" t="s">
        <v>931</v>
      </c>
      <c r="B71" s="15">
        <v>19751130</v>
      </c>
      <c r="C71" s="15">
        <v>19901202</v>
      </c>
      <c r="D71" s="15" t="s">
        <v>17</v>
      </c>
      <c r="E71" s="15" t="s">
        <v>1333</v>
      </c>
      <c r="F71" s="19">
        <f>VLOOKUP( $A71, Sovereignty!$A$2:$L$510, 12, 0 )</f>
        <v>0</v>
      </c>
    </row>
    <row r="72" spans="1:6" x14ac:dyDescent="0.2">
      <c r="A72" s="15" t="s">
        <v>931</v>
      </c>
      <c r="B72" s="15">
        <v>19600801</v>
      </c>
      <c r="C72" s="15">
        <v>19751130</v>
      </c>
      <c r="D72" s="15" t="s">
        <v>1332</v>
      </c>
      <c r="E72" s="15" t="s">
        <v>1331</v>
      </c>
      <c r="F72" s="19">
        <f>VLOOKUP( $A72, Sovereignty!$A$2:$L$510, 12, 0 )</f>
        <v>0</v>
      </c>
    </row>
    <row r="73" spans="1:6" x14ac:dyDescent="0.2">
      <c r="A73" s="15" t="s">
        <v>1204</v>
      </c>
      <c r="B73" s="15">
        <v>19581204</v>
      </c>
      <c r="C73" s="15">
        <v>19600801</v>
      </c>
      <c r="D73" s="15" t="s">
        <v>17</v>
      </c>
      <c r="E73" s="15" t="s">
        <v>1331</v>
      </c>
      <c r="F73" s="19">
        <f>VLOOKUP( $A73, Sovereignty!$A$2:$L$510, 12, 0 )</f>
        <v>0</v>
      </c>
    </row>
    <row r="74" spans="1:6" x14ac:dyDescent="0.2">
      <c r="A74" s="15" t="s">
        <v>1208</v>
      </c>
      <c r="B74" s="15">
        <v>18210101</v>
      </c>
      <c r="C74" s="15">
        <v>19570306</v>
      </c>
      <c r="D74" s="15" t="s">
        <v>1206</v>
      </c>
      <c r="E74" s="15" t="s">
        <v>1335</v>
      </c>
      <c r="F74" s="19">
        <f>VLOOKUP( $A74, Sovereignty!$A$2:$L$510, 12, 0 )</f>
        <v>0</v>
      </c>
    </row>
    <row r="75" spans="1:6" x14ac:dyDescent="0.2">
      <c r="A75" s="15" t="s">
        <v>937</v>
      </c>
      <c r="B75" s="15">
        <v>19601001</v>
      </c>
      <c r="C75" s="15">
        <v>20261231</v>
      </c>
      <c r="D75" s="15" t="s">
        <v>116</v>
      </c>
      <c r="E75" s="15" t="s">
        <v>1336</v>
      </c>
      <c r="F75" s="19">
        <f>VLOOKUP( $A75, Sovereignty!$A$2:$L$510, 12, 0 )</f>
        <v>0</v>
      </c>
    </row>
    <row r="76" spans="1:6" x14ac:dyDescent="0.2">
      <c r="A76" s="15" t="s">
        <v>1213</v>
      </c>
      <c r="B76" s="15">
        <v>19140101</v>
      </c>
      <c r="C76" s="15">
        <v>19601001</v>
      </c>
      <c r="D76" s="15" t="s">
        <v>116</v>
      </c>
      <c r="E76" s="15" t="s">
        <v>1212</v>
      </c>
      <c r="F76" s="19">
        <f>VLOOKUP( $A76, Sovereignty!$A$2:$L$510, 12, 0 )</f>
        <v>0</v>
      </c>
    </row>
    <row r="77" spans="1:6" x14ac:dyDescent="0.2">
      <c r="A77" s="15" t="s">
        <v>1219</v>
      </c>
      <c r="B77" s="15">
        <v>19000101</v>
      </c>
      <c r="C77" s="15">
        <v>19140101</v>
      </c>
      <c r="D77" s="15" t="s">
        <v>1214</v>
      </c>
      <c r="E77" s="15" t="s">
        <v>1215</v>
      </c>
      <c r="F77" s="19">
        <f>VLOOKUP( $A77, Sovereignty!$A$2:$L$510, 12, 0 )</f>
        <v>0</v>
      </c>
    </row>
    <row r="78" spans="1:6" x14ac:dyDescent="0.2">
      <c r="A78" s="15" t="s">
        <v>1220</v>
      </c>
      <c r="B78" s="15">
        <v>19000101</v>
      </c>
      <c r="C78" s="15">
        <v>19140101</v>
      </c>
      <c r="D78" s="15" t="s">
        <v>1216</v>
      </c>
      <c r="E78" s="15" t="s">
        <v>1217</v>
      </c>
      <c r="F78" s="19">
        <f>VLOOKUP( $A78, Sovereignty!$A$2:$L$510, 12, 0 )</f>
        <v>0</v>
      </c>
    </row>
    <row r="79" spans="1:6" x14ac:dyDescent="0.2">
      <c r="A79" s="15" t="s">
        <v>1346</v>
      </c>
      <c r="B79" s="15">
        <v>19581128</v>
      </c>
      <c r="C79" s="15">
        <v>19600811</v>
      </c>
      <c r="D79" s="15" t="s">
        <v>1284</v>
      </c>
      <c r="E79" s="15" t="s">
        <v>1347</v>
      </c>
      <c r="F79" s="19" t="str">
        <f>VLOOKUP( $A79, Sovereignty!$A$2:$L$510, 12, 0 )</f>
        <v>x</v>
      </c>
    </row>
    <row r="80" spans="1:6" x14ac:dyDescent="0.2">
      <c r="A80" s="15" t="s">
        <v>938</v>
      </c>
      <c r="B80" s="15">
        <v>19681012</v>
      </c>
      <c r="C80" s="15">
        <v>20261231</v>
      </c>
      <c r="D80" s="15" t="s">
        <v>49</v>
      </c>
      <c r="E80" s="15" t="s">
        <v>1225</v>
      </c>
      <c r="F80" s="19">
        <f>VLOOKUP( $A80, Sovereignty!$A$2:$L$510, 12, 0 )</f>
        <v>0</v>
      </c>
    </row>
    <row r="81" spans="1:6" x14ac:dyDescent="0.2">
      <c r="A81" s="15" t="s">
        <v>1349</v>
      </c>
      <c r="B81" s="15">
        <v>19590730</v>
      </c>
      <c r="C81" s="15">
        <v>19681012</v>
      </c>
      <c r="D81" s="15" t="s">
        <v>1223</v>
      </c>
      <c r="E81" s="15" t="s">
        <v>1223</v>
      </c>
      <c r="F81" s="19">
        <f>VLOOKUP( $A81, Sovereignty!$A$2:$L$510, 12, 0 )</f>
        <v>0</v>
      </c>
    </row>
    <row r="82" spans="1:6" x14ac:dyDescent="0.2">
      <c r="A82" s="15" t="s">
        <v>1350</v>
      </c>
      <c r="B82" s="15">
        <v>19000627</v>
      </c>
      <c r="C82" s="15">
        <v>19590730</v>
      </c>
      <c r="D82" s="15" t="s">
        <v>1223</v>
      </c>
      <c r="E82" s="15" t="s">
        <v>1223</v>
      </c>
      <c r="F82" s="19">
        <f>VLOOKUP( $A82, Sovereignty!$A$2:$L$510, 12, 0 )</f>
        <v>0</v>
      </c>
    </row>
    <row r="83" spans="1:6" x14ac:dyDescent="0.2">
      <c r="A83" s="15" t="s">
        <v>2362</v>
      </c>
      <c r="B83" s="15">
        <v>19750712</v>
      </c>
      <c r="C83" s="15">
        <v>20261231</v>
      </c>
      <c r="D83" s="15" t="s">
        <v>139</v>
      </c>
      <c r="E83" s="15" t="s">
        <v>1033</v>
      </c>
      <c r="F83" s="19">
        <f>VLOOKUP( $A83, Sovereignty!$A$2:$L$510, 12, 0 )</f>
        <v>0</v>
      </c>
    </row>
    <row r="84" spans="1:6" x14ac:dyDescent="0.2">
      <c r="A84" s="15" t="s">
        <v>1032</v>
      </c>
      <c r="B84" s="15">
        <v>14850101</v>
      </c>
      <c r="C84" s="15">
        <v>19750712</v>
      </c>
      <c r="D84" s="15" t="s">
        <v>139</v>
      </c>
      <c r="E84" s="15" t="s">
        <v>1031</v>
      </c>
      <c r="F84" s="19">
        <f>VLOOKUP( $A84, Sovereignty!$A$2:$L$510, 12, 0 )</f>
        <v>0</v>
      </c>
    </row>
    <row r="85" spans="1:6" x14ac:dyDescent="0.2">
      <c r="A85" s="15" t="s">
        <v>904</v>
      </c>
      <c r="B85" s="15">
        <v>19760629</v>
      </c>
      <c r="C85" s="15">
        <v>20261231</v>
      </c>
      <c r="D85" s="15" t="s">
        <v>142</v>
      </c>
      <c r="E85" s="15" t="s">
        <v>1034</v>
      </c>
      <c r="F85" s="19">
        <f>VLOOKUP( $A85, Sovereignty!$A$2:$L$510, 12, 0 )</f>
        <v>0</v>
      </c>
    </row>
    <row r="86" spans="1:6" x14ac:dyDescent="0.2">
      <c r="A86" s="15" t="s">
        <v>1036</v>
      </c>
      <c r="B86" s="15">
        <v>18140430</v>
      </c>
      <c r="C86" s="15">
        <v>19760629</v>
      </c>
      <c r="D86" s="15" t="s">
        <v>142</v>
      </c>
      <c r="E86" s="15" t="s">
        <v>1035</v>
      </c>
      <c r="F86" s="19">
        <f>VLOOKUP( $A86, Sovereignty!$A$2:$L$510, 12, 0 )</f>
        <v>0</v>
      </c>
    </row>
    <row r="87" spans="1:6" x14ac:dyDescent="0.2">
      <c r="A87" s="15" t="s">
        <v>1037</v>
      </c>
      <c r="B87" s="15">
        <v>17561101</v>
      </c>
      <c r="C87" s="15">
        <v>18140430</v>
      </c>
      <c r="D87" s="15" t="s">
        <v>142</v>
      </c>
      <c r="E87" s="15" t="s">
        <v>1035</v>
      </c>
      <c r="F87" s="19">
        <f>VLOOKUP( $A87, Sovereignty!$A$2:$L$510, 12, 0 )</f>
        <v>0</v>
      </c>
    </row>
    <row r="88" spans="1:6" x14ac:dyDescent="0.2">
      <c r="A88" s="15" t="s">
        <v>905</v>
      </c>
      <c r="B88" s="15">
        <v>19751111</v>
      </c>
      <c r="C88" s="15">
        <v>20261231</v>
      </c>
      <c r="D88" s="15" t="s">
        <v>4</v>
      </c>
      <c r="E88" s="15" t="s">
        <v>1051</v>
      </c>
      <c r="F88" s="19">
        <f>VLOOKUP( $A88, Sovereignty!$A$2:$L$510, 12, 0 )</f>
        <v>0</v>
      </c>
    </row>
    <row r="89" spans="1:6" x14ac:dyDescent="0.2">
      <c r="A89" s="15" t="s">
        <v>1358</v>
      </c>
      <c r="B89" s="15">
        <v>19510101</v>
      </c>
      <c r="C89" s="15">
        <v>19751111</v>
      </c>
      <c r="D89" s="15" t="s">
        <v>1050</v>
      </c>
      <c r="E89" s="15" t="s">
        <v>1049</v>
      </c>
      <c r="F89" s="19">
        <f>VLOOKUP( $A89, Sovereignty!$A$2:$L$510, 12, 0 )</f>
        <v>0</v>
      </c>
    </row>
    <row r="90" spans="1:6" x14ac:dyDescent="0.2">
      <c r="A90" s="15" t="s">
        <v>1358</v>
      </c>
      <c r="B90" s="15">
        <v>18910611</v>
      </c>
      <c r="C90" s="15">
        <v>19510101</v>
      </c>
      <c r="D90" s="15" t="s">
        <v>1050</v>
      </c>
      <c r="E90" s="15" t="s">
        <v>1360</v>
      </c>
      <c r="F90" s="19">
        <f>VLOOKUP( $A90, Sovereignty!$A$2:$L$510, 12, 0 )</f>
        <v>0</v>
      </c>
    </row>
    <row r="91" spans="1:6" x14ac:dyDescent="0.2">
      <c r="A91" s="15" t="s">
        <v>1329</v>
      </c>
      <c r="B91" s="15">
        <v>19970517</v>
      </c>
      <c r="C91" s="15">
        <v>20261231</v>
      </c>
      <c r="D91" s="15" t="s">
        <v>2389</v>
      </c>
      <c r="E91" s="15" t="s">
        <v>40</v>
      </c>
      <c r="F91" s="19">
        <f>VLOOKUP( $A91, Sovereignty!$A$2:$L$510, 12, 0 )</f>
        <v>0</v>
      </c>
    </row>
    <row r="92" spans="1:6" x14ac:dyDescent="0.2">
      <c r="A92" s="15" t="s">
        <v>1329</v>
      </c>
      <c r="B92" s="15">
        <v>19711027</v>
      </c>
      <c r="C92" s="15">
        <v>19970517</v>
      </c>
      <c r="D92" s="15" t="s">
        <v>1361</v>
      </c>
      <c r="E92" s="15" t="s">
        <v>1361</v>
      </c>
      <c r="F92" s="19">
        <f>VLOOKUP( $A92, Sovereignty!$A$2:$L$510, 12, 0 )</f>
        <v>0</v>
      </c>
    </row>
    <row r="93" spans="1:6" x14ac:dyDescent="0.2">
      <c r="A93" s="15" t="s">
        <v>1329</v>
      </c>
      <c r="B93" s="15">
        <v>19600630</v>
      </c>
      <c r="C93" s="15">
        <v>19711027</v>
      </c>
      <c r="D93" s="15" t="s">
        <v>2389</v>
      </c>
      <c r="E93" s="15" t="s">
        <v>130</v>
      </c>
      <c r="F93" s="19">
        <f>VLOOKUP( $A93, Sovereignty!$A$2:$L$510, 12, 0 )</f>
        <v>0</v>
      </c>
    </row>
    <row r="94" spans="1:6" x14ac:dyDescent="0.2">
      <c r="A94" s="15" t="s">
        <v>1077</v>
      </c>
      <c r="B94" s="15">
        <v>19081115</v>
      </c>
      <c r="C94" s="15">
        <v>19600630</v>
      </c>
      <c r="D94" s="15" t="s">
        <v>1072</v>
      </c>
      <c r="E94" s="15" t="s">
        <v>1072</v>
      </c>
      <c r="F94" s="19">
        <f>VLOOKUP( $A94, Sovereignty!$A$2:$L$510, 12, 0 )</f>
        <v>0</v>
      </c>
    </row>
    <row r="95" spans="1:6" x14ac:dyDescent="0.2">
      <c r="A95" s="15" t="s">
        <v>1365</v>
      </c>
      <c r="B95" s="15">
        <v>18850701</v>
      </c>
      <c r="C95" s="15">
        <v>19081115</v>
      </c>
      <c r="D95" s="15" t="s">
        <v>1073</v>
      </c>
      <c r="E95" s="15" t="s">
        <v>1073</v>
      </c>
      <c r="F95" s="19">
        <f>VLOOKUP( $A95, Sovereignty!$A$2:$L$510, 12, 0 )</f>
        <v>0</v>
      </c>
    </row>
    <row r="96" spans="1:6" x14ac:dyDescent="0.2">
      <c r="A96" s="15" t="s">
        <v>912</v>
      </c>
      <c r="B96" s="15">
        <v>19611001</v>
      </c>
      <c r="C96" s="15">
        <v>20261231</v>
      </c>
      <c r="D96" s="15" t="s">
        <v>28</v>
      </c>
      <c r="E96" s="15" t="s">
        <v>1134</v>
      </c>
      <c r="F96" s="19">
        <f>VLOOKUP( $A96, Sovereignty!$A$2:$L$510, 12, 0 )</f>
        <v>0</v>
      </c>
    </row>
    <row r="97" spans="1:6" x14ac:dyDescent="0.2">
      <c r="A97" s="15" t="s">
        <v>1137</v>
      </c>
      <c r="B97" s="15">
        <v>19160720</v>
      </c>
      <c r="C97" s="15">
        <v>19611001</v>
      </c>
      <c r="D97" s="15" t="s">
        <v>1367</v>
      </c>
      <c r="E97" s="15" t="s">
        <v>1132</v>
      </c>
      <c r="F97" s="19">
        <f>VLOOKUP( $A97, Sovereignty!$A$2:$L$510, 12, 0 )</f>
        <v>0</v>
      </c>
    </row>
    <row r="98" spans="1:6" x14ac:dyDescent="0.2">
      <c r="A98" s="15" t="s">
        <v>1136</v>
      </c>
      <c r="B98" s="15">
        <v>19160720</v>
      </c>
      <c r="C98" s="15">
        <v>19600101</v>
      </c>
      <c r="D98" s="15" t="s">
        <v>1131</v>
      </c>
      <c r="E98" s="15" t="s">
        <v>1131</v>
      </c>
      <c r="F98" s="19">
        <f>VLOOKUP( $A98, Sovereignty!$A$2:$L$510, 12, 0 )</f>
        <v>0</v>
      </c>
    </row>
    <row r="99" spans="1:6" x14ac:dyDescent="0.2">
      <c r="A99" s="15" t="s">
        <v>1135</v>
      </c>
      <c r="B99" s="15">
        <v>18840817</v>
      </c>
      <c r="C99" s="15">
        <v>19160720</v>
      </c>
      <c r="D99" s="15" t="s">
        <v>1129</v>
      </c>
      <c r="E99" s="15" t="s">
        <v>1129</v>
      </c>
      <c r="F99" s="19">
        <f>VLOOKUP( $A99, Sovereignty!$A$2:$L$510, 12, 0 )</f>
        <v>0</v>
      </c>
    </row>
    <row r="100" spans="1:6" x14ac:dyDescent="0.2">
      <c r="A100" s="15" t="s">
        <v>910</v>
      </c>
      <c r="B100" s="15">
        <v>19900321</v>
      </c>
      <c r="C100" s="15">
        <v>20261231</v>
      </c>
      <c r="D100" s="15" t="s">
        <v>109</v>
      </c>
      <c r="E100" s="15" t="s">
        <v>1114</v>
      </c>
      <c r="F100" s="19">
        <f>VLOOKUP( $A100, Sovereignty!$A$2:$L$510, 12, 0 )</f>
        <v>0</v>
      </c>
    </row>
    <row r="101" spans="1:6" x14ac:dyDescent="0.2">
      <c r="A101" s="15" t="s">
        <v>1116</v>
      </c>
      <c r="B101" s="15">
        <v>19150709</v>
      </c>
      <c r="C101" s="15">
        <v>19900321</v>
      </c>
      <c r="D101" s="15" t="s">
        <v>1113</v>
      </c>
      <c r="E101" s="15" t="s">
        <v>1113</v>
      </c>
      <c r="F101" s="19">
        <f>VLOOKUP( $A101, Sovereignty!$A$2:$L$510, 12, 0 )</f>
        <v>0</v>
      </c>
    </row>
    <row r="102" spans="1:6" x14ac:dyDescent="0.2">
      <c r="A102" s="15" t="s">
        <v>1115</v>
      </c>
      <c r="B102" s="15">
        <v>18840807</v>
      </c>
      <c r="C102" s="15">
        <v>19150709</v>
      </c>
      <c r="D102" s="15" t="s">
        <v>1111</v>
      </c>
      <c r="E102" s="15" t="s">
        <v>1111</v>
      </c>
      <c r="F102" s="19">
        <f>VLOOKUP( $A102, Sovereignty!$A$2:$L$510, 12, 0 )</f>
        <v>0</v>
      </c>
    </row>
    <row r="103" spans="1:6" x14ac:dyDescent="0.2">
      <c r="A103" s="15" t="s">
        <v>919</v>
      </c>
      <c r="B103" s="15">
        <v>19660930</v>
      </c>
      <c r="C103" s="15">
        <v>20261231</v>
      </c>
      <c r="D103" s="15" t="s">
        <v>21</v>
      </c>
      <c r="E103" s="15" t="s">
        <v>1386</v>
      </c>
      <c r="F103" s="19">
        <f>VLOOKUP( $A103, Sovereignty!$A$2:$L$510, 12, 0 )</f>
        <v>0</v>
      </c>
    </row>
    <row r="104" spans="1:6" x14ac:dyDescent="0.2">
      <c r="A104" s="15" t="s">
        <v>1370</v>
      </c>
      <c r="B104" s="15">
        <v>18850331</v>
      </c>
      <c r="C104" s="15">
        <v>19660930</v>
      </c>
      <c r="D104" s="15" t="s">
        <v>1389</v>
      </c>
      <c r="E104" s="15" t="s">
        <v>1389</v>
      </c>
      <c r="F104" s="19">
        <f>VLOOKUP( $A104, Sovereignty!$A$2:$L$510, 12, 0 )</f>
        <v>0</v>
      </c>
    </row>
    <row r="105" spans="1:6" x14ac:dyDescent="0.2">
      <c r="A105" s="15" t="s">
        <v>1371</v>
      </c>
      <c r="B105" s="15">
        <v>19100531</v>
      </c>
      <c r="C105" s="15">
        <v>20261231</v>
      </c>
      <c r="D105" s="15" t="s">
        <v>149</v>
      </c>
      <c r="E105" s="15" t="s">
        <v>1401</v>
      </c>
      <c r="F105" s="19">
        <f>VLOOKUP( $A105, Sovereignty!$A$2:$L$510, 12, 0 )</f>
        <v>0</v>
      </c>
    </row>
    <row r="106" spans="1:6" x14ac:dyDescent="0.2">
      <c r="A106" s="15" t="s">
        <v>922</v>
      </c>
      <c r="B106" s="15">
        <v>20180419</v>
      </c>
      <c r="C106" s="15">
        <v>20261231</v>
      </c>
      <c r="D106" s="15" t="s">
        <v>52</v>
      </c>
      <c r="E106" s="15" t="s">
        <v>1378</v>
      </c>
      <c r="F106" s="19">
        <f>VLOOKUP( $A106, Sovereignty!$A$2:$L$510, 12, 0 )</f>
        <v>0</v>
      </c>
    </row>
    <row r="107" spans="1:6" x14ac:dyDescent="0.2">
      <c r="A107" s="15" t="s">
        <v>922</v>
      </c>
      <c r="B107" s="15">
        <v>19680924</v>
      </c>
      <c r="C107" s="15">
        <v>20180419</v>
      </c>
      <c r="D107" s="15" t="s">
        <v>1380</v>
      </c>
      <c r="E107" s="15" t="s">
        <v>1381</v>
      </c>
      <c r="F107" s="19">
        <f>VLOOKUP( $A107, Sovereignty!$A$2:$L$510, 12, 0 )</f>
        <v>0</v>
      </c>
    </row>
    <row r="108" spans="1:6" x14ac:dyDescent="0.2">
      <c r="A108" s="15" t="s">
        <v>1379</v>
      </c>
      <c r="B108" s="15">
        <v>19030101</v>
      </c>
      <c r="C108" s="15">
        <v>19680924</v>
      </c>
      <c r="D108" s="15" t="s">
        <v>1380</v>
      </c>
      <c r="E108" s="15" t="s">
        <v>1380</v>
      </c>
      <c r="F108" s="19">
        <f>VLOOKUP( $A108, Sovereignty!$A$2:$L$510, 12, 0 )</f>
        <v>0</v>
      </c>
    </row>
    <row r="109" spans="1:6" x14ac:dyDescent="0.2">
      <c r="A109" s="15" t="s">
        <v>1376</v>
      </c>
      <c r="B109" s="15">
        <v>18430504</v>
      </c>
      <c r="C109" s="15">
        <v>19100531</v>
      </c>
      <c r="D109" s="15" t="s">
        <v>1375</v>
      </c>
      <c r="E109" s="15" t="s">
        <v>1384</v>
      </c>
      <c r="F109" s="19">
        <f>VLOOKUP( $A109, Sovereignty!$A$2:$L$510, 12, 0 )</f>
        <v>0</v>
      </c>
    </row>
    <row r="110" spans="1:6" x14ac:dyDescent="0.2">
      <c r="A110" s="15" t="s">
        <v>908</v>
      </c>
      <c r="B110" s="15">
        <v>19661004</v>
      </c>
      <c r="C110" s="15">
        <v>20261231</v>
      </c>
      <c r="D110" s="15" t="s">
        <v>87</v>
      </c>
      <c r="E110" s="15" t="s">
        <v>1099</v>
      </c>
      <c r="F110" s="19">
        <f>VLOOKUP( $A110, Sovereignty!$A$2:$L$510, 12, 0 )</f>
        <v>0</v>
      </c>
    </row>
    <row r="111" spans="1:6" x14ac:dyDescent="0.2">
      <c r="A111" s="15" t="s">
        <v>1373</v>
      </c>
      <c r="B111" s="15">
        <v>18840318</v>
      </c>
      <c r="C111" s="15">
        <v>19661004</v>
      </c>
      <c r="D111" s="15" t="s">
        <v>1096</v>
      </c>
      <c r="E111" s="15" t="s">
        <v>1097</v>
      </c>
      <c r="F111" s="19">
        <f>VLOOKUP( $A111, Sovereignty!$A$2:$L$510, 12, 0 )</f>
        <v>0</v>
      </c>
    </row>
    <row r="112" spans="1:6" x14ac:dyDescent="0.2">
      <c r="A112" s="15" t="s">
        <v>1105</v>
      </c>
      <c r="B112" s="15">
        <v>18060108</v>
      </c>
      <c r="C112" s="15">
        <v>19100531</v>
      </c>
      <c r="D112" s="15" t="s">
        <v>1103</v>
      </c>
      <c r="E112" s="15" t="s">
        <v>1103</v>
      </c>
      <c r="F112" s="19">
        <f>VLOOKUP( $A112, Sovereignty!$A$2:$L$510, 12, 0 )</f>
        <v>0</v>
      </c>
    </row>
    <row r="113" spans="1:6" x14ac:dyDescent="0.2">
      <c r="A113" s="15" t="s">
        <v>1393</v>
      </c>
      <c r="B113" s="15">
        <v>19020531</v>
      </c>
      <c r="C113" s="15">
        <v>19100531</v>
      </c>
      <c r="D113" s="15" t="s">
        <v>1390</v>
      </c>
      <c r="E113" s="15" t="s">
        <v>1396</v>
      </c>
      <c r="F113" s="19">
        <f>VLOOKUP( $A113, Sovereignty!$A$2:$L$510, 12, 0 )</f>
        <v>0</v>
      </c>
    </row>
    <row r="114" spans="1:6" x14ac:dyDescent="0.2">
      <c r="A114" s="15" t="s">
        <v>1392</v>
      </c>
      <c r="B114" s="15">
        <v>19020531</v>
      </c>
      <c r="C114" s="15">
        <v>19100531</v>
      </c>
      <c r="D114" s="15" t="s">
        <v>1400</v>
      </c>
      <c r="E114" s="15" t="s">
        <v>1399</v>
      </c>
      <c r="F114" s="19">
        <f>VLOOKUP( $A114, Sovereignty!$A$2:$L$510, 12, 0 )</f>
        <v>0</v>
      </c>
    </row>
    <row r="115" spans="1:6" x14ac:dyDescent="0.2">
      <c r="A115" s="15" t="s">
        <v>917</v>
      </c>
      <c r="B115" s="15">
        <v>19641024</v>
      </c>
      <c r="C115" s="15">
        <v>20261231</v>
      </c>
      <c r="D115" s="15" t="s">
        <v>181</v>
      </c>
      <c r="E115" s="15" t="s">
        <v>1179</v>
      </c>
      <c r="F115" s="19">
        <f>VLOOKUP( $A115, Sovereignty!$A$2:$L$510, 12, 0 )</f>
        <v>0</v>
      </c>
    </row>
    <row r="116" spans="1:6" x14ac:dyDescent="0.2">
      <c r="A116" s="15" t="s">
        <v>1407</v>
      </c>
      <c r="B116" s="15">
        <v>19631231</v>
      </c>
      <c r="C116" s="15">
        <v>19641024</v>
      </c>
      <c r="D116" s="15" t="s">
        <v>1177</v>
      </c>
      <c r="E116" s="15" t="s">
        <v>1177</v>
      </c>
      <c r="F116" s="19">
        <f>VLOOKUP( $A116, Sovereignty!$A$2:$L$510, 12, 0 )</f>
        <v>0</v>
      </c>
    </row>
    <row r="117" spans="1:6" x14ac:dyDescent="0.2">
      <c r="A117" s="15" t="s">
        <v>1183</v>
      </c>
      <c r="B117" s="15">
        <v>19530801</v>
      </c>
      <c r="C117" s="15">
        <v>19631231</v>
      </c>
      <c r="D117" s="15" t="s">
        <v>1182</v>
      </c>
      <c r="E117" s="15" t="s">
        <v>1180</v>
      </c>
      <c r="F117" s="19">
        <f>VLOOKUP( $A117, Sovereignty!$A$2:$L$510, 12, 0 )</f>
        <v>0</v>
      </c>
    </row>
    <row r="118" spans="1:6" x14ac:dyDescent="0.2">
      <c r="A118" s="15" t="s">
        <v>1402</v>
      </c>
      <c r="B118" s="15">
        <v>19240401</v>
      </c>
      <c r="C118" s="15">
        <v>19530801</v>
      </c>
      <c r="D118" s="15" t="s">
        <v>1177</v>
      </c>
      <c r="E118" s="15" t="s">
        <v>1177</v>
      </c>
      <c r="F118" s="19">
        <f>VLOOKUP( $A118, Sovereignty!$A$2:$L$510, 12, 0 )</f>
        <v>0</v>
      </c>
    </row>
    <row r="119" spans="1:6" x14ac:dyDescent="0.2">
      <c r="A119" s="15" t="s">
        <v>1411</v>
      </c>
      <c r="B119" s="15">
        <v>19800418</v>
      </c>
      <c r="C119" s="15">
        <v>20261231</v>
      </c>
      <c r="D119" s="15" t="s">
        <v>182</v>
      </c>
      <c r="E119" s="15" t="s">
        <v>1412</v>
      </c>
      <c r="F119" s="19">
        <f>VLOOKUP( $A119, Sovereignty!$A$2:$L$510, 12, 0 )</f>
        <v>0</v>
      </c>
    </row>
    <row r="120" spans="1:6" x14ac:dyDescent="0.2">
      <c r="A120" s="15" t="s">
        <v>1404</v>
      </c>
      <c r="B120" s="15">
        <v>19631231</v>
      </c>
      <c r="C120" s="15">
        <v>19800418</v>
      </c>
      <c r="D120" s="15" t="s">
        <v>1403</v>
      </c>
      <c r="E120" s="15" t="s">
        <v>1403</v>
      </c>
      <c r="F120" s="19">
        <f>VLOOKUP( $A120, Sovereignty!$A$2:$L$510, 12, 0 )</f>
        <v>0</v>
      </c>
    </row>
    <row r="121" spans="1:6" x14ac:dyDescent="0.2">
      <c r="A121" s="15" t="s">
        <v>1405</v>
      </c>
      <c r="B121" s="15">
        <v>19230912</v>
      </c>
      <c r="C121" s="15">
        <v>19530801</v>
      </c>
      <c r="D121" s="15" t="s">
        <v>1403</v>
      </c>
      <c r="E121" s="15" t="s">
        <v>1403</v>
      </c>
      <c r="F121" s="19">
        <f>VLOOKUP( $A121, Sovereignty!$A$2:$L$510, 12, 0 )</f>
        <v>0</v>
      </c>
    </row>
    <row r="122" spans="1:6" x14ac:dyDescent="0.2">
      <c r="A122" s="15" t="s">
        <v>930</v>
      </c>
      <c r="B122" s="15">
        <v>19750625</v>
      </c>
      <c r="C122" s="15">
        <v>20261231</v>
      </c>
      <c r="D122" s="15" t="s">
        <v>107</v>
      </c>
      <c r="E122" s="15" t="s">
        <v>107</v>
      </c>
      <c r="F122" s="19">
        <f>VLOOKUP( $A122, Sovereignty!$A$2:$L$510, 12, 0 )</f>
        <v>0</v>
      </c>
    </row>
    <row r="123" spans="1:6" x14ac:dyDescent="0.2">
      <c r="A123" s="15" t="s">
        <v>1414</v>
      </c>
      <c r="B123" s="15">
        <v>18910611</v>
      </c>
      <c r="C123" s="15">
        <v>19750625</v>
      </c>
      <c r="D123" s="15" t="s">
        <v>1413</v>
      </c>
      <c r="E123" s="15" t="s">
        <v>1413</v>
      </c>
      <c r="F123" s="19">
        <f>VLOOKUP( $A123, Sovereignty!$A$2:$L$510, 12, 0 )</f>
        <v>0</v>
      </c>
    </row>
    <row r="124" spans="1:6" x14ac:dyDescent="0.2">
      <c r="A124" s="15" t="s">
        <v>935</v>
      </c>
      <c r="B124" s="15">
        <v>19640426</v>
      </c>
      <c r="C124" s="15">
        <v>20261231</v>
      </c>
      <c r="D124" s="15" t="s">
        <v>161</v>
      </c>
      <c r="E124" s="15" t="s">
        <v>1433</v>
      </c>
      <c r="F124" s="19">
        <f>VLOOKUP( $A124, Sovereignty!$A$2:$L$510, 12, 0 )</f>
        <v>0</v>
      </c>
    </row>
    <row r="125" spans="1:6" x14ac:dyDescent="0.2">
      <c r="A125" s="15" t="s">
        <v>1419</v>
      </c>
      <c r="B125" s="15">
        <v>19611209</v>
      </c>
      <c r="C125" s="15">
        <v>19640426</v>
      </c>
      <c r="D125" s="15" t="s">
        <v>1422</v>
      </c>
      <c r="E125" s="15" t="s">
        <v>1435</v>
      </c>
      <c r="F125" s="19">
        <f>VLOOKUP( $A125, Sovereignty!$A$2:$L$510, 12, 0 )</f>
        <v>0</v>
      </c>
    </row>
    <row r="126" spans="1:6" x14ac:dyDescent="0.2">
      <c r="A126" s="15" t="s">
        <v>1420</v>
      </c>
      <c r="B126" s="15">
        <v>19640112</v>
      </c>
      <c r="C126" s="15">
        <v>19640426</v>
      </c>
      <c r="D126" s="15" t="s">
        <v>1423</v>
      </c>
      <c r="E126" s="15" t="s">
        <v>1436</v>
      </c>
      <c r="F126" s="19">
        <f>VLOOKUP( $A126, Sovereignty!$A$2:$L$510, 12, 0 )</f>
        <v>0</v>
      </c>
    </row>
    <row r="127" spans="1:6" x14ac:dyDescent="0.2">
      <c r="A127" s="15" t="s">
        <v>1421</v>
      </c>
      <c r="B127" s="15">
        <v>18901201</v>
      </c>
      <c r="C127" s="15">
        <v>19631210</v>
      </c>
      <c r="D127" s="15" t="s">
        <v>1423</v>
      </c>
      <c r="E127" s="15" t="s">
        <v>1437</v>
      </c>
      <c r="F127" s="19">
        <f>VLOOKUP( $A127, Sovereignty!$A$2:$L$510, 12, 0 )</f>
        <v>0</v>
      </c>
    </row>
    <row r="128" spans="1:6" x14ac:dyDescent="0.2">
      <c r="A128" s="15" t="s">
        <v>1420</v>
      </c>
      <c r="B128" s="15">
        <v>19631210</v>
      </c>
      <c r="C128" s="15">
        <v>19640112</v>
      </c>
      <c r="D128" s="15" t="s">
        <v>1423</v>
      </c>
      <c r="E128" s="15" t="s">
        <v>1437</v>
      </c>
      <c r="F128" s="19">
        <f>VLOOKUP( $A128, Sovereignty!$A$2:$L$510, 12, 0 )</f>
        <v>0</v>
      </c>
    </row>
    <row r="129" spans="1:6" x14ac:dyDescent="0.2">
      <c r="A129" s="15" t="s">
        <v>1427</v>
      </c>
      <c r="B129" s="15">
        <v>18560406</v>
      </c>
      <c r="C129" s="15">
        <v>18901201</v>
      </c>
      <c r="D129" s="15" t="s">
        <v>1423</v>
      </c>
      <c r="E129" s="15" t="s">
        <v>1437</v>
      </c>
      <c r="F129" s="19">
        <f>VLOOKUP( $A129, Sovereignty!$A$2:$L$510, 12, 0 )</f>
        <v>0</v>
      </c>
    </row>
    <row r="130" spans="1:6" x14ac:dyDescent="0.2">
      <c r="A130" s="15" t="s">
        <v>1425</v>
      </c>
      <c r="B130" s="15">
        <v>19160904</v>
      </c>
      <c r="C130" s="15">
        <v>19611209</v>
      </c>
      <c r="D130" s="15" t="s">
        <v>1422</v>
      </c>
      <c r="E130" s="15" t="s">
        <v>1434</v>
      </c>
      <c r="F130" s="19">
        <f>VLOOKUP( $A130, Sovereignty!$A$2:$L$510, 12, 0 )</f>
        <v>0</v>
      </c>
    </row>
    <row r="131" spans="1:6" x14ac:dyDescent="0.2">
      <c r="A131" s="15" t="s">
        <v>927</v>
      </c>
      <c r="B131" s="15">
        <v>19600626</v>
      </c>
      <c r="C131" s="15">
        <v>20261231</v>
      </c>
      <c r="D131" s="15" t="s">
        <v>93</v>
      </c>
      <c r="E131" s="15" t="s">
        <v>1148</v>
      </c>
      <c r="F131" s="19">
        <f>VLOOKUP( $A131, Sovereignty!$A$2:$L$510, 12, 0 )</f>
        <v>0</v>
      </c>
    </row>
    <row r="132" spans="1:6" x14ac:dyDescent="0.2">
      <c r="A132" s="15" t="s">
        <v>1146</v>
      </c>
      <c r="B132" s="15">
        <v>19581014</v>
      </c>
      <c r="C132" s="15">
        <v>19600626</v>
      </c>
      <c r="D132" s="15" t="s">
        <v>93</v>
      </c>
      <c r="E132" s="15" t="s">
        <v>1147</v>
      </c>
      <c r="F132" s="19">
        <f>VLOOKUP( $A132, Sovereignty!$A$2:$L$510, 12, 0 )</f>
        <v>0</v>
      </c>
    </row>
    <row r="133" spans="1:6" x14ac:dyDescent="0.2">
      <c r="A133" s="15" t="s">
        <v>1146</v>
      </c>
      <c r="B133" s="15">
        <v>18970228</v>
      </c>
      <c r="C133" s="15">
        <v>19581014</v>
      </c>
      <c r="D133" s="15" t="s">
        <v>93</v>
      </c>
      <c r="E133" s="15" t="s">
        <v>1139</v>
      </c>
      <c r="F133" s="19">
        <f>VLOOKUP( $A133, Sovereignty!$A$2:$L$510, 12, 0 )</f>
        <v>0</v>
      </c>
    </row>
    <row r="134" spans="1:6" x14ac:dyDescent="0.2">
      <c r="A134" s="15" t="s">
        <v>1146</v>
      </c>
      <c r="B134" s="15">
        <v>18820101</v>
      </c>
      <c r="C134" s="15">
        <v>18970228</v>
      </c>
      <c r="D134" s="15" t="s">
        <v>93</v>
      </c>
      <c r="E134" s="15" t="s">
        <v>1145</v>
      </c>
      <c r="F134" s="19">
        <f>VLOOKUP( $A134, Sovereignty!$A$2:$L$510, 12, 0 )</f>
        <v>0</v>
      </c>
    </row>
    <row r="135" spans="1:6" x14ac:dyDescent="0.2">
      <c r="A135" s="15" t="s">
        <v>1143</v>
      </c>
      <c r="B135" s="15">
        <v>18170101</v>
      </c>
      <c r="C135" s="15">
        <v>18820101</v>
      </c>
      <c r="D135" s="15" t="s">
        <v>1438</v>
      </c>
      <c r="E135" s="15" t="s">
        <v>1144</v>
      </c>
      <c r="F135" s="19">
        <f>VLOOKUP( $A135, Sovereignty!$A$2:$L$510, 12, 0 )</f>
        <v>0</v>
      </c>
    </row>
    <row r="136" spans="1:6" x14ac:dyDescent="0.2">
      <c r="A136" s="15" t="s">
        <v>913</v>
      </c>
      <c r="B136" s="15">
        <v>19750706</v>
      </c>
      <c r="C136" s="15">
        <v>20261231</v>
      </c>
      <c r="D136" s="15" t="s">
        <v>35</v>
      </c>
      <c r="E136" s="15" t="s">
        <v>1149</v>
      </c>
      <c r="F136" s="19">
        <f>VLOOKUP( $A136, Sovereignty!$A$2:$L$510, 12, 0 )</f>
        <v>0</v>
      </c>
    </row>
    <row r="137" spans="1:6" x14ac:dyDescent="0.2">
      <c r="A137" s="15" t="s">
        <v>1141</v>
      </c>
      <c r="B137" s="15">
        <v>19120101</v>
      </c>
      <c r="C137" s="15">
        <v>19750706</v>
      </c>
      <c r="D137" s="15" t="s">
        <v>35</v>
      </c>
      <c r="E137" s="15" t="s">
        <v>1142</v>
      </c>
      <c r="F137" s="19">
        <f>VLOOKUP( $A137, Sovereignty!$A$2:$L$510, 12, 0 )</f>
        <v>0</v>
      </c>
    </row>
    <row r="138" spans="1:6" x14ac:dyDescent="0.2">
      <c r="A138" s="15" t="s">
        <v>916</v>
      </c>
      <c r="B138" s="15">
        <v>19680312</v>
      </c>
      <c r="C138" s="15">
        <v>20261231</v>
      </c>
      <c r="D138" s="15" t="s">
        <v>101</v>
      </c>
      <c r="E138" s="15" t="s">
        <v>1222</v>
      </c>
      <c r="F138" s="19">
        <f>VLOOKUP( $A138, Sovereignty!$A$2:$L$510, 12, 0 )</f>
        <v>0</v>
      </c>
    </row>
    <row r="139" spans="1:6" x14ac:dyDescent="0.2">
      <c r="A139" s="15" t="s">
        <v>1173</v>
      </c>
      <c r="B139" s="15">
        <v>18101203</v>
      </c>
      <c r="C139" s="15">
        <v>19680312</v>
      </c>
      <c r="D139" s="15" t="s">
        <v>1174</v>
      </c>
      <c r="E139" s="15" t="s">
        <v>1172</v>
      </c>
      <c r="F139" s="19">
        <f>VLOOKUP( $A139, Sovereignty!$A$2:$L$510, 12, 0 )</f>
        <v>0</v>
      </c>
    </row>
    <row r="140" spans="1:6" x14ac:dyDescent="0.2">
      <c r="A140" s="15" t="s">
        <v>1176</v>
      </c>
      <c r="B140" s="15">
        <v>17150920</v>
      </c>
      <c r="C140" s="15">
        <v>18101203</v>
      </c>
      <c r="D140" s="15" t="s">
        <v>1175</v>
      </c>
      <c r="E140" s="15" t="s">
        <v>1175</v>
      </c>
      <c r="F140" s="19">
        <f>VLOOKUP( $A140, Sovereignty!$A$2:$L$510, 12, 0 )</f>
        <v>0</v>
      </c>
    </row>
    <row r="141" spans="1:6" x14ac:dyDescent="0.2">
      <c r="A141" s="15" t="s">
        <v>2248</v>
      </c>
      <c r="B141" s="15">
        <v>19640706</v>
      </c>
      <c r="C141" s="15">
        <v>20261231</v>
      </c>
      <c r="D141" s="15" t="s">
        <v>94</v>
      </c>
      <c r="E141" s="15" t="s">
        <v>1445</v>
      </c>
      <c r="F141" s="19">
        <f>VLOOKUP( $A141, Sovereignty!$A$2:$L$510, 12, 0 )</f>
        <v>0</v>
      </c>
    </row>
    <row r="142" spans="1:6" x14ac:dyDescent="0.2">
      <c r="A142" s="15" t="s">
        <v>1406</v>
      </c>
      <c r="B142" s="15">
        <v>19631231</v>
      </c>
      <c r="C142" s="15">
        <v>19640706</v>
      </c>
      <c r="D142" s="15" t="s">
        <v>1492</v>
      </c>
      <c r="E142" s="15" t="s">
        <v>1492</v>
      </c>
      <c r="F142" s="19">
        <f>VLOOKUP( $A142, Sovereignty!$A$2:$L$510, 12, 0 )</f>
        <v>0</v>
      </c>
    </row>
    <row r="143" spans="1:6" x14ac:dyDescent="0.2">
      <c r="A143" s="15" t="s">
        <v>2473</v>
      </c>
      <c r="B143" s="15">
        <v>19070706</v>
      </c>
      <c r="C143" s="15">
        <v>19631231</v>
      </c>
      <c r="D143" s="15" t="s">
        <v>1492</v>
      </c>
      <c r="E143" s="15" t="s">
        <v>2472</v>
      </c>
      <c r="F143" s="19">
        <f>VLOOKUP( $A143, Sovereignty!$A$2:$L$510, 12, 0 )</f>
        <v>0</v>
      </c>
    </row>
    <row r="144" spans="1:6" x14ac:dyDescent="0.2">
      <c r="A144" s="15" t="s">
        <v>2473</v>
      </c>
      <c r="B144" s="15">
        <v>18930101</v>
      </c>
      <c r="C144" s="15">
        <v>19070706</v>
      </c>
      <c r="D144" s="15" t="s">
        <v>1492</v>
      </c>
      <c r="E144" s="15" t="s">
        <v>1492</v>
      </c>
      <c r="F144" s="19">
        <f>VLOOKUP( $A144, Sovereignty!$A$2:$L$510, 12, 0 )</f>
        <v>0</v>
      </c>
    </row>
    <row r="145" spans="1:6" x14ac:dyDescent="0.2">
      <c r="A145" s="15" t="s">
        <v>914</v>
      </c>
      <c r="B145" s="15">
        <v>19620701</v>
      </c>
      <c r="C145" s="15">
        <v>20261231</v>
      </c>
      <c r="D145" s="15" t="s">
        <v>133</v>
      </c>
      <c r="E145" s="15" t="s">
        <v>1150</v>
      </c>
      <c r="F145" s="19">
        <f>VLOOKUP( $A145, Sovereignty!$A$2:$L$510, 12, 0 )</f>
        <v>0</v>
      </c>
    </row>
    <row r="146" spans="1:6" x14ac:dyDescent="0.2">
      <c r="A146" s="15" t="s">
        <v>1449</v>
      </c>
      <c r="B146" s="15">
        <v>19160506</v>
      </c>
      <c r="C146" s="15">
        <v>19620701</v>
      </c>
      <c r="D146" s="15" t="s">
        <v>1154</v>
      </c>
      <c r="E146" s="15" t="s">
        <v>1155</v>
      </c>
      <c r="F146" s="19">
        <f>VLOOKUP( $A146, Sovereignty!$A$2:$L$510, 12, 0 )</f>
        <v>0</v>
      </c>
    </row>
    <row r="147" spans="1:6" x14ac:dyDescent="0.2">
      <c r="A147" s="15" t="s">
        <v>1158</v>
      </c>
      <c r="B147" s="15">
        <v>18850227</v>
      </c>
      <c r="C147" s="15">
        <v>19160904</v>
      </c>
      <c r="D147" s="15" t="s">
        <v>1151</v>
      </c>
      <c r="E147" s="15" t="s">
        <v>1151</v>
      </c>
      <c r="F147" s="19">
        <f>VLOOKUP( $A147, Sovereignty!$A$2:$L$510, 12, 0 )</f>
        <v>0</v>
      </c>
    </row>
    <row r="148" spans="1:6" x14ac:dyDescent="0.2">
      <c r="A148" s="15" t="s">
        <v>936</v>
      </c>
      <c r="B148" s="15">
        <v>19620701</v>
      </c>
      <c r="C148" s="15">
        <v>20261231</v>
      </c>
      <c r="D148" s="15" t="s">
        <v>26</v>
      </c>
      <c r="E148" s="15" t="s">
        <v>1157</v>
      </c>
      <c r="F148" s="19">
        <f>VLOOKUP( $A148, Sovereignty!$A$2:$L$510, 12, 0 )</f>
        <v>0</v>
      </c>
    </row>
    <row r="149" spans="1:6" x14ac:dyDescent="0.2">
      <c r="A149" s="15" t="s">
        <v>1455</v>
      </c>
      <c r="B149" s="15">
        <v>19631231</v>
      </c>
      <c r="C149" s="15">
        <v>20261231</v>
      </c>
      <c r="D149" s="15" t="s">
        <v>79</v>
      </c>
      <c r="E149" s="15" t="s">
        <v>1170</v>
      </c>
      <c r="F149" s="19">
        <f>VLOOKUP( $A149, Sovereignty!$A$2:$L$510, 12, 0 )</f>
        <v>0</v>
      </c>
    </row>
    <row r="150" spans="1:6" x14ac:dyDescent="0.2">
      <c r="A150" s="15" t="s">
        <v>1171</v>
      </c>
      <c r="B150" s="15">
        <v>19200723</v>
      </c>
      <c r="C150" s="15">
        <v>19631231</v>
      </c>
      <c r="D150" s="15" t="s">
        <v>79</v>
      </c>
      <c r="E150" s="15" t="s">
        <v>1169</v>
      </c>
      <c r="F150" s="19">
        <f>VLOOKUP( $A150, Sovereignty!$A$2:$L$510, 12, 0 )</f>
        <v>0</v>
      </c>
    </row>
    <row r="151" spans="1:6" x14ac:dyDescent="0.2">
      <c r="A151" s="15" t="s">
        <v>1454</v>
      </c>
      <c r="B151" s="15">
        <v>18950701</v>
      </c>
      <c r="C151" s="15">
        <v>19200723</v>
      </c>
      <c r="D151" s="15" t="s">
        <v>1167</v>
      </c>
      <c r="E151" s="15" t="s">
        <v>1167</v>
      </c>
      <c r="F151" s="19">
        <f>VLOOKUP( $A151, Sovereignty!$A$2:$L$510, 12, 0 )</f>
        <v>0</v>
      </c>
    </row>
    <row r="152" spans="1:6" x14ac:dyDescent="0.2">
      <c r="A152" s="15" t="s">
        <v>1457</v>
      </c>
      <c r="B152" s="15">
        <v>19621009</v>
      </c>
      <c r="C152" s="15">
        <v>20261231</v>
      </c>
      <c r="D152" s="15" t="s">
        <v>170</v>
      </c>
      <c r="E152" s="15" t="s">
        <v>1491</v>
      </c>
      <c r="F152" s="19">
        <f>VLOOKUP( $A152, Sovereignty!$A$2:$L$510, 12, 0 )</f>
        <v>0</v>
      </c>
    </row>
    <row r="153" spans="1:6" x14ac:dyDescent="0.2">
      <c r="A153" s="15" t="s">
        <v>1458</v>
      </c>
      <c r="B153" s="15">
        <v>18940618</v>
      </c>
      <c r="C153" s="15">
        <v>19621009</v>
      </c>
      <c r="D153" s="15" t="s">
        <v>170</v>
      </c>
      <c r="E153" s="15" t="s">
        <v>1460</v>
      </c>
      <c r="F153" s="19">
        <f>VLOOKUP( $A153, Sovereignty!$A$2:$L$510, 12, 0 )</f>
        <v>0</v>
      </c>
    </row>
    <row r="154" spans="1:6" x14ac:dyDescent="0.2">
      <c r="A154" s="15" t="s">
        <v>926</v>
      </c>
      <c r="B154" s="15">
        <v>19560101</v>
      </c>
      <c r="C154" s="15">
        <v>20261231</v>
      </c>
      <c r="D154" s="15" t="s">
        <v>154</v>
      </c>
      <c r="E154" s="15" t="s">
        <v>1466</v>
      </c>
      <c r="F154" s="19">
        <f>VLOOKUP( $A154, Sovereignty!$A$2:$L$510, 12, 0 )</f>
        <v>0</v>
      </c>
    </row>
    <row r="155" spans="1:6" x14ac:dyDescent="0.2">
      <c r="A155" s="15" t="s">
        <v>1463</v>
      </c>
      <c r="B155" s="15">
        <v>18990619</v>
      </c>
      <c r="C155" s="15">
        <v>19560101</v>
      </c>
      <c r="D155" s="15" t="s">
        <v>1464</v>
      </c>
      <c r="E155" s="15" t="s">
        <v>1464</v>
      </c>
      <c r="F155" s="19">
        <f>VLOOKUP( $A155, Sovereignty!$A$2:$L$510, 12, 0 )</f>
        <v>0</v>
      </c>
    </row>
    <row r="156" spans="1:6" x14ac:dyDescent="0.2">
      <c r="A156" s="15" t="s">
        <v>929</v>
      </c>
      <c r="B156" s="15">
        <v>20110709</v>
      </c>
      <c r="C156" s="15">
        <v>20261231</v>
      </c>
      <c r="D156" s="15" t="s">
        <v>151</v>
      </c>
      <c r="E156" s="15" t="s">
        <v>1468</v>
      </c>
      <c r="F156" s="19">
        <f>VLOOKUP( $A156, Sovereignty!$A$2:$L$510, 12, 0 )</f>
        <v>0</v>
      </c>
    </row>
    <row r="157" spans="1:6" x14ac:dyDescent="0.2">
      <c r="A157" s="15" t="s">
        <v>1470</v>
      </c>
      <c r="B157" s="15">
        <v>19610929</v>
      </c>
      <c r="C157" s="15">
        <v>20261231</v>
      </c>
      <c r="D157" s="15" t="s">
        <v>47</v>
      </c>
      <c r="E157" s="15" t="s">
        <v>1472</v>
      </c>
      <c r="F157" s="19">
        <f>VLOOKUP( $A157, Sovereignty!$A$2:$L$510, 12, 0 )</f>
        <v>0</v>
      </c>
    </row>
    <row r="158" spans="1:6" x14ac:dyDescent="0.2">
      <c r="A158" s="15" t="s">
        <v>1245</v>
      </c>
      <c r="B158" s="15">
        <v>19580222</v>
      </c>
      <c r="C158" s="15">
        <v>19610929</v>
      </c>
      <c r="D158" s="15" t="s">
        <v>1244</v>
      </c>
      <c r="E158" s="15" t="s">
        <v>1244</v>
      </c>
      <c r="F158" s="19">
        <f>VLOOKUP( $A158, Sovereignty!$A$2:$L$510, 12, 0 )</f>
        <v>0</v>
      </c>
    </row>
    <row r="159" spans="1:6" x14ac:dyDescent="0.2">
      <c r="A159" s="15" t="s">
        <v>920</v>
      </c>
      <c r="B159" s="15">
        <v>19220228</v>
      </c>
      <c r="C159" s="15">
        <v>19580222</v>
      </c>
      <c r="D159" s="15" t="s">
        <v>47</v>
      </c>
      <c r="E159" s="15" t="s">
        <v>1243</v>
      </c>
      <c r="F159" s="19">
        <f>VLOOKUP( $A159, Sovereignty!$A$2:$L$510, 12, 0 )</f>
        <v>0</v>
      </c>
    </row>
    <row r="160" spans="1:6" x14ac:dyDescent="0.2">
      <c r="A160" s="15" t="s">
        <v>1241</v>
      </c>
      <c r="B160" s="15">
        <v>19141219</v>
      </c>
      <c r="C160" s="15">
        <v>19220228</v>
      </c>
      <c r="D160" s="15" t="s">
        <v>47</v>
      </c>
      <c r="E160" s="15" t="s">
        <v>1242</v>
      </c>
      <c r="F160" s="19">
        <f>VLOOKUP( $A160, Sovereignty!$A$2:$L$510, 12, 0 )</f>
        <v>0</v>
      </c>
    </row>
    <row r="161" spans="1:6" x14ac:dyDescent="0.2">
      <c r="A161" s="15" t="s">
        <v>1240</v>
      </c>
      <c r="B161" s="15">
        <v>18050101</v>
      </c>
      <c r="C161" s="15">
        <v>19141219</v>
      </c>
      <c r="D161" s="15" t="s">
        <v>47</v>
      </c>
      <c r="E161" s="15" t="s">
        <v>1239</v>
      </c>
      <c r="F161" s="19">
        <f>VLOOKUP( $A161, Sovereignty!$A$2:$L$510, 12, 0 )</f>
        <v>0</v>
      </c>
    </row>
    <row r="162" spans="1:6" x14ac:dyDescent="0.2">
      <c r="A162" s="15" t="s">
        <v>911</v>
      </c>
      <c r="B162" s="15">
        <v>19511224</v>
      </c>
      <c r="C162" s="15">
        <v>20261231</v>
      </c>
      <c r="D162" s="15" t="s">
        <v>89</v>
      </c>
      <c r="E162" s="15" t="s">
        <v>1123</v>
      </c>
      <c r="F162" s="19">
        <f>VLOOKUP( $A162, Sovereignty!$A$2:$L$510, 12, 0 )</f>
        <v>0</v>
      </c>
    </row>
    <row r="163" spans="1:6" x14ac:dyDescent="0.2">
      <c r="A163" s="15" t="s">
        <v>1476</v>
      </c>
      <c r="B163" s="15">
        <v>19430513</v>
      </c>
      <c r="C163" s="15">
        <v>19511224</v>
      </c>
      <c r="D163" s="15" t="s">
        <v>1474</v>
      </c>
      <c r="E163" s="15" t="s">
        <v>1124</v>
      </c>
      <c r="F163" s="19">
        <f>VLOOKUP( $A163, Sovereignty!$A$2:$L$510, 12, 0 )</f>
        <v>0</v>
      </c>
    </row>
    <row r="164" spans="1:6" x14ac:dyDescent="0.2">
      <c r="A164" s="15" t="s">
        <v>1477</v>
      </c>
      <c r="B164" s="15">
        <v>19430513</v>
      </c>
      <c r="C164" s="15">
        <v>19511224</v>
      </c>
      <c r="D164" s="15" t="s">
        <v>1473</v>
      </c>
      <c r="E164" s="15" t="s">
        <v>1483</v>
      </c>
      <c r="F164" s="19">
        <f>VLOOKUP( $A164, Sovereignty!$A$2:$L$510, 12, 0 )</f>
        <v>0</v>
      </c>
    </row>
    <row r="165" spans="1:6" x14ac:dyDescent="0.2">
      <c r="A165" s="15" t="s">
        <v>1478</v>
      </c>
      <c r="B165" s="15">
        <v>19340101</v>
      </c>
      <c r="C165" s="15">
        <v>19430513</v>
      </c>
      <c r="D165" s="15" t="s">
        <v>1121</v>
      </c>
      <c r="E165" s="15" t="s">
        <v>1122</v>
      </c>
      <c r="F165" s="19">
        <f>VLOOKUP( $A165, Sovereignty!$A$2:$L$510, 12, 0 )</f>
        <v>0</v>
      </c>
    </row>
    <row r="166" spans="1:6" x14ac:dyDescent="0.2">
      <c r="A166" s="15" t="s">
        <v>1127</v>
      </c>
      <c r="B166" s="15">
        <v>19111111</v>
      </c>
      <c r="C166" s="15">
        <v>19340101</v>
      </c>
      <c r="D166" s="15" t="s">
        <v>1119</v>
      </c>
      <c r="E166" s="15" t="s">
        <v>1119</v>
      </c>
      <c r="F166" s="19">
        <f>VLOOKUP( $A166, Sovereignty!$A$2:$L$510, 12, 0 )</f>
        <v>0</v>
      </c>
    </row>
    <row r="167" spans="1:6" x14ac:dyDescent="0.2">
      <c r="A167" s="15" t="s">
        <v>1126</v>
      </c>
      <c r="B167" s="15">
        <v>19111111</v>
      </c>
      <c r="C167" s="15">
        <v>19340101</v>
      </c>
      <c r="D167" s="15" t="s">
        <v>1118</v>
      </c>
      <c r="E167" s="15" t="s">
        <v>1118</v>
      </c>
      <c r="F167" s="19">
        <f>VLOOKUP( $A167, Sovereignty!$A$2:$L$510, 12, 0 )</f>
        <v>0</v>
      </c>
    </row>
    <row r="168" spans="1:6" x14ac:dyDescent="0.2">
      <c r="A168" s="15" t="s">
        <v>924</v>
      </c>
      <c r="B168" s="15">
        <v>19570725</v>
      </c>
      <c r="C168" s="15">
        <v>20261231</v>
      </c>
      <c r="D168" s="15" t="s">
        <v>166</v>
      </c>
      <c r="E168" s="15" t="s">
        <v>1226</v>
      </c>
      <c r="F168" s="19">
        <f>VLOOKUP( $A168, Sovereignty!$A$2:$L$510, 12, 0 )</f>
        <v>0</v>
      </c>
    </row>
    <row r="169" spans="1:6" x14ac:dyDescent="0.2">
      <c r="A169" s="15" t="s">
        <v>924</v>
      </c>
      <c r="B169" s="15">
        <v>19560320</v>
      </c>
      <c r="C169" s="15">
        <v>19570725</v>
      </c>
      <c r="D169" s="15" t="s">
        <v>166</v>
      </c>
      <c r="E169" s="15" t="s">
        <v>1486</v>
      </c>
      <c r="F169" s="19">
        <f>VLOOKUP( $A169, Sovereignty!$A$2:$L$510, 12, 0 )</f>
        <v>0</v>
      </c>
    </row>
    <row r="170" spans="1:6" x14ac:dyDescent="0.2">
      <c r="A170" s="15" t="s">
        <v>1228</v>
      </c>
      <c r="B170" s="15">
        <v>18810512</v>
      </c>
      <c r="C170" s="15">
        <v>19560320</v>
      </c>
      <c r="D170" s="15" t="s">
        <v>166</v>
      </c>
      <c r="E170" s="15" t="s">
        <v>1227</v>
      </c>
      <c r="F170" s="19">
        <f>VLOOKUP( $A170, Sovereignty!$A$2:$L$510, 12, 0 )</f>
        <v>0</v>
      </c>
    </row>
    <row r="171" spans="1:6" x14ac:dyDescent="0.2">
      <c r="A171" s="15" t="s">
        <v>921</v>
      </c>
      <c r="B171" s="15">
        <v>19620705</v>
      </c>
      <c r="C171" s="15">
        <v>20261231</v>
      </c>
      <c r="D171" s="15" t="s">
        <v>2</v>
      </c>
      <c r="E171" s="15" t="s">
        <v>1238</v>
      </c>
      <c r="F171" s="19">
        <f>VLOOKUP( $A171, Sovereignty!$A$2:$L$510, 12, 0 )</f>
        <v>0</v>
      </c>
    </row>
    <row r="172" spans="1:6" x14ac:dyDescent="0.2">
      <c r="A172" s="15" t="s">
        <v>1237</v>
      </c>
      <c r="B172" s="15">
        <v>18300705</v>
      </c>
      <c r="C172" s="15">
        <v>19620705</v>
      </c>
      <c r="D172" s="15" t="s">
        <v>1236</v>
      </c>
      <c r="E172" s="15" t="s">
        <v>1236</v>
      </c>
      <c r="F172" s="19">
        <f>VLOOKUP( $A172, Sovereignty!$A$2:$L$510, 12, 0 )</f>
        <v>0</v>
      </c>
    </row>
    <row r="173" spans="1:6" x14ac:dyDescent="0.2">
      <c r="A173" s="15" t="s">
        <v>932</v>
      </c>
      <c r="B173" s="15">
        <v>19560407</v>
      </c>
      <c r="C173" s="15">
        <v>20261231</v>
      </c>
      <c r="D173" s="15" t="s">
        <v>185</v>
      </c>
      <c r="E173" s="15" t="s">
        <v>1229</v>
      </c>
      <c r="F173" s="19">
        <f>VLOOKUP( $A173, Sovereignty!$A$2:$L$510, 12, 0 )</f>
        <v>0</v>
      </c>
    </row>
    <row r="174" spans="1:6" x14ac:dyDescent="0.2">
      <c r="A174" s="15" t="s">
        <v>1233</v>
      </c>
      <c r="B174" s="15">
        <v>19120330</v>
      </c>
      <c r="C174" s="15">
        <v>19560407</v>
      </c>
      <c r="D174" s="15" t="s">
        <v>185</v>
      </c>
      <c r="E174" s="15" t="s">
        <v>1235</v>
      </c>
      <c r="F174" s="19">
        <f>VLOOKUP( $A174, Sovereignty!$A$2:$L$510, 12, 0 )</f>
        <v>0</v>
      </c>
    </row>
    <row r="175" spans="1:6" x14ac:dyDescent="0.2">
      <c r="A175" s="15" t="s">
        <v>1232</v>
      </c>
      <c r="B175" s="15">
        <v>19121127</v>
      </c>
      <c r="C175" s="15">
        <v>19560407</v>
      </c>
      <c r="D175" s="15" t="s">
        <v>185</v>
      </c>
      <c r="E175" s="15" t="s">
        <v>1230</v>
      </c>
      <c r="F175" s="19">
        <f>VLOOKUP( $A175, Sovereignty!$A$2:$L$510, 12, 0 )</f>
        <v>0</v>
      </c>
    </row>
    <row r="176" spans="1:6" x14ac:dyDescent="0.2">
      <c r="A176" s="15" t="s">
        <v>2496</v>
      </c>
      <c r="B176" s="15">
        <v>19580101</v>
      </c>
      <c r="C176" s="15">
        <v>19751114</v>
      </c>
      <c r="D176" s="15" t="s">
        <v>2503</v>
      </c>
      <c r="E176" s="15" t="s">
        <v>2504</v>
      </c>
      <c r="F176" s="19">
        <f>VLOOKUP( $A176, Sovereignty!$A$2:$L$510, 12, 0 )</f>
        <v>0</v>
      </c>
    </row>
    <row r="177" spans="1:6" x14ac:dyDescent="0.2">
      <c r="A177" s="15" t="s">
        <v>2496</v>
      </c>
      <c r="B177" s="15">
        <v>18841226</v>
      </c>
      <c r="C177" s="15">
        <v>19580101</v>
      </c>
      <c r="D177" s="15" t="s">
        <v>2503</v>
      </c>
      <c r="E177" s="15" t="s">
        <v>2502</v>
      </c>
      <c r="F177" s="19">
        <f>VLOOKUP( $A177, Sovereignty!$A$2:$L$510, 12, 0 )</f>
        <v>0</v>
      </c>
    </row>
    <row r="178" spans="1:6" x14ac:dyDescent="0.2">
      <c r="A178" s="15" t="s">
        <v>2497</v>
      </c>
      <c r="B178" s="15">
        <v>19751114</v>
      </c>
      <c r="C178" s="15">
        <v>20261231</v>
      </c>
      <c r="D178" s="15" t="s">
        <v>2495</v>
      </c>
      <c r="E178" s="15" t="s">
        <v>2495</v>
      </c>
      <c r="F178" s="19">
        <f>VLOOKUP( $A178, Sovereignty!$A$2:$L$510, 12, 0 )</f>
        <v>0</v>
      </c>
    </row>
    <row r="179" spans="1:6" x14ac:dyDescent="0.2">
      <c r="A179" s="15" t="s">
        <v>2363</v>
      </c>
      <c r="B179" s="15">
        <v>19460319</v>
      </c>
      <c r="C179" s="15">
        <v>20261231</v>
      </c>
      <c r="D179" s="15" t="s">
        <v>887</v>
      </c>
      <c r="E179" s="15" t="s">
        <v>773</v>
      </c>
      <c r="F179" s="19">
        <f>VLOOKUP( $A179, Sovereignty!$A$2:$L$510, 12, 0 )</f>
        <v>0</v>
      </c>
    </row>
    <row r="180" spans="1:6" x14ac:dyDescent="0.2">
      <c r="A180" s="15" t="s">
        <v>884</v>
      </c>
      <c r="B180" s="15">
        <v>18410101</v>
      </c>
      <c r="C180" s="15">
        <v>20261231</v>
      </c>
      <c r="D180" s="15" t="s">
        <v>774</v>
      </c>
      <c r="E180" s="15" t="s">
        <v>774</v>
      </c>
      <c r="F180" s="19">
        <f>VLOOKUP( $A180, Sovereignty!$A$2:$L$510, 12, 0 )</f>
        <v>0</v>
      </c>
    </row>
    <row r="181" spans="1:6" x14ac:dyDescent="0.2">
      <c r="A181" s="15" t="s">
        <v>1520</v>
      </c>
      <c r="B181" s="15">
        <v>15170413</v>
      </c>
      <c r="C181" s="15">
        <v>18050101</v>
      </c>
      <c r="D181" s="15" t="s">
        <v>1521</v>
      </c>
      <c r="E181" s="15" t="s">
        <v>1521</v>
      </c>
      <c r="F181" s="19">
        <f>VLOOKUP( $A181, Sovereignty!$A$2:$L$510, 12, 0 )</f>
        <v>0</v>
      </c>
    </row>
    <row r="182" spans="1:6" x14ac:dyDescent="0.2">
      <c r="A182" s="15" t="s">
        <v>1125</v>
      </c>
      <c r="B182" s="15">
        <v>15510101</v>
      </c>
      <c r="C182" s="15">
        <v>19111111</v>
      </c>
      <c r="D182" s="15" t="s">
        <v>1117</v>
      </c>
      <c r="E182" s="15" t="s">
        <v>1117</v>
      </c>
      <c r="F182" s="19">
        <f>VLOOKUP( $A182, Sovereignty!$A$2:$L$510, 12, 0 )</f>
        <v>0</v>
      </c>
    </row>
    <row r="183" spans="1:6" x14ac:dyDescent="0.2">
      <c r="A183" s="15" t="s">
        <v>1523</v>
      </c>
      <c r="B183" s="15">
        <v>15740101</v>
      </c>
      <c r="C183" s="15">
        <v>18810512</v>
      </c>
      <c r="D183" s="15" t="s">
        <v>1522</v>
      </c>
      <c r="E183" s="15" t="s">
        <v>1522</v>
      </c>
      <c r="F183" s="19">
        <f>VLOOKUP( $A183, Sovereignty!$A$2:$L$510, 12, 0 )</f>
        <v>0</v>
      </c>
    </row>
    <row r="184" spans="1:6" x14ac:dyDescent="0.2">
      <c r="A184" s="15" t="s">
        <v>1525</v>
      </c>
      <c r="B184" s="15">
        <v>15160101</v>
      </c>
      <c r="C184" s="15">
        <v>18300705</v>
      </c>
      <c r="D184" s="15" t="s">
        <v>1524</v>
      </c>
      <c r="E184" s="15" t="s">
        <v>1524</v>
      </c>
      <c r="F184" s="19">
        <f>VLOOKUP( $A184, Sovereignty!$A$2:$L$510, 12, 0 )</f>
        <v>0</v>
      </c>
    </row>
    <row r="185" spans="1:6" x14ac:dyDescent="0.2">
      <c r="A185" s="15" t="s">
        <v>820</v>
      </c>
      <c r="B185" s="15">
        <v>19670124</v>
      </c>
      <c r="C185" s="15">
        <v>20261231</v>
      </c>
      <c r="D185" s="15" t="s">
        <v>22</v>
      </c>
      <c r="E185" s="15" t="s">
        <v>823</v>
      </c>
      <c r="F185" s="19" t="str">
        <f>VLOOKUP( $A185, Sovereignty!$A$2:$L$510, 12, 0 )</f>
        <v>x</v>
      </c>
    </row>
    <row r="186" spans="1:6" x14ac:dyDescent="0.2">
      <c r="A186" s="15" t="s">
        <v>820</v>
      </c>
      <c r="B186" s="15">
        <v>19640401</v>
      </c>
      <c r="C186" s="15">
        <v>19670124</v>
      </c>
      <c r="D186" s="15" t="s">
        <v>22</v>
      </c>
      <c r="E186" s="15" t="s">
        <v>2340</v>
      </c>
      <c r="F186" s="19" t="str">
        <f>VLOOKUP( $A186, Sovereignty!$A$2:$L$510, 12, 0 )</f>
        <v>x</v>
      </c>
    </row>
    <row r="187" spans="1:6" x14ac:dyDescent="0.2">
      <c r="A187" s="15" t="s">
        <v>820</v>
      </c>
      <c r="B187" s="15">
        <v>19460131</v>
      </c>
      <c r="C187" s="15">
        <v>19640401</v>
      </c>
      <c r="D187" s="15" t="s">
        <v>22</v>
      </c>
      <c r="E187" s="15" t="s">
        <v>822</v>
      </c>
      <c r="F187" s="19" t="str">
        <f>VLOOKUP( $A187, Sovereignty!$A$2:$L$510, 12, 0 )</f>
        <v>x</v>
      </c>
    </row>
    <row r="188" spans="1:6" x14ac:dyDescent="0.2">
      <c r="A188" s="15" t="s">
        <v>820</v>
      </c>
      <c r="B188" s="15">
        <v>18891115</v>
      </c>
      <c r="C188" s="15">
        <v>19460131</v>
      </c>
      <c r="D188" s="15" t="s">
        <v>22</v>
      </c>
      <c r="E188" s="15" t="s">
        <v>2340</v>
      </c>
      <c r="F188" s="19" t="str">
        <f>VLOOKUP( $A188, Sovereignty!$A$2:$L$510, 12, 0 )</f>
        <v>x</v>
      </c>
    </row>
    <row r="189" spans="1:6" x14ac:dyDescent="0.2">
      <c r="A189" s="15" t="s">
        <v>820</v>
      </c>
      <c r="B189" s="15">
        <v>18220907</v>
      </c>
      <c r="C189" s="15">
        <v>18891115</v>
      </c>
      <c r="D189" s="15" t="s">
        <v>22</v>
      </c>
      <c r="E189" s="15" t="s">
        <v>657</v>
      </c>
      <c r="F189" s="19" t="str">
        <f>VLOOKUP( $A189, Sovereignty!$A$2:$L$510, 12, 0 )</f>
        <v>x</v>
      </c>
    </row>
    <row r="190" spans="1:6" x14ac:dyDescent="0.2">
      <c r="A190" s="15" t="s">
        <v>821</v>
      </c>
      <c r="B190" s="15">
        <v>18151216</v>
      </c>
      <c r="C190" s="15">
        <v>18220907</v>
      </c>
      <c r="D190" s="15" t="s">
        <v>22</v>
      </c>
      <c r="E190" s="15" t="s">
        <v>656</v>
      </c>
      <c r="F190" s="19" t="str">
        <f>VLOOKUP( $A190, Sovereignty!$A$2:$L$510, 12, 0 )</f>
        <v>x</v>
      </c>
    </row>
    <row r="191" spans="1:6" x14ac:dyDescent="0.2">
      <c r="A191" s="15" t="s">
        <v>819</v>
      </c>
      <c r="B191" s="15">
        <v>15490101</v>
      </c>
      <c r="C191" s="15">
        <v>18151216</v>
      </c>
      <c r="D191" s="15" t="s">
        <v>653</v>
      </c>
      <c r="E191" s="15" t="s">
        <v>653</v>
      </c>
      <c r="F191" s="19" t="str">
        <f>VLOOKUP( $A191, Sovereignty!$A$2:$L$510, 12, 0 )</f>
        <v>x</v>
      </c>
    </row>
    <row r="192" spans="1:6" x14ac:dyDescent="0.2">
      <c r="A192" s="15" t="s">
        <v>2377</v>
      </c>
      <c r="B192" s="15">
        <v>18250825</v>
      </c>
      <c r="C192" s="15">
        <v>20261231</v>
      </c>
      <c r="D192" s="15" t="s">
        <v>174</v>
      </c>
      <c r="E192" s="15" t="s">
        <v>792</v>
      </c>
      <c r="F192" s="19" t="str">
        <f>VLOOKUP( $A192, Sovereignty!$A$2:$L$510, 12, 0 )</f>
        <v>x</v>
      </c>
    </row>
    <row r="193" spans="1:6" x14ac:dyDescent="0.2">
      <c r="A193" s="15" t="s">
        <v>790</v>
      </c>
      <c r="B193" s="15">
        <v>18170120</v>
      </c>
      <c r="C193" s="15">
        <v>18250825</v>
      </c>
      <c r="D193" s="15" t="s">
        <v>789</v>
      </c>
      <c r="E193" s="15" t="s">
        <v>788</v>
      </c>
      <c r="F193" s="19" t="str">
        <f>VLOOKUP( $A193, Sovereignty!$A$2:$L$510, 12, 0 )</f>
        <v>x</v>
      </c>
    </row>
    <row r="194" spans="1:6" x14ac:dyDescent="0.2">
      <c r="A194" s="15" t="s">
        <v>2342</v>
      </c>
      <c r="B194" s="15">
        <v>18100525</v>
      </c>
      <c r="C194" s="15">
        <v>18160709</v>
      </c>
      <c r="D194" s="15" t="s">
        <v>645</v>
      </c>
      <c r="E194" s="15" t="s">
        <v>645</v>
      </c>
      <c r="F194" s="19" t="str">
        <f>VLOOKUP( $A194, Sovereignty!$A$2:$L$510, 12, 0 )</f>
        <v>x</v>
      </c>
    </row>
    <row r="195" spans="1:6" x14ac:dyDescent="0.2">
      <c r="A195" s="15" t="s">
        <v>791</v>
      </c>
      <c r="B195" s="15">
        <v>17760801</v>
      </c>
      <c r="C195" s="15">
        <v>18100525</v>
      </c>
      <c r="D195" s="15" t="s">
        <v>644</v>
      </c>
      <c r="E195" s="15" t="s">
        <v>644</v>
      </c>
      <c r="F195" s="19" t="str">
        <f>VLOOKUP( $A195, Sovereignty!$A$2:$L$510, 12, 0 )</f>
        <v>x</v>
      </c>
    </row>
    <row r="196" spans="1:6" x14ac:dyDescent="0.2">
      <c r="A196" s="15" t="s">
        <v>813</v>
      </c>
      <c r="B196" s="15">
        <v>18110514</v>
      </c>
      <c r="C196" s="15">
        <v>20261231</v>
      </c>
      <c r="D196" s="15" t="s">
        <v>124</v>
      </c>
      <c r="E196" s="15" t="s">
        <v>814</v>
      </c>
      <c r="F196" s="19" t="str">
        <f>VLOOKUP( $A196, Sovereignty!$A$2:$L$510, 12, 0 )</f>
        <v>x</v>
      </c>
    </row>
    <row r="197" spans="1:6" x14ac:dyDescent="0.2">
      <c r="A197" s="15" t="s">
        <v>816</v>
      </c>
      <c r="B197" s="15">
        <v>18160709</v>
      </c>
      <c r="C197" s="15">
        <v>20261231</v>
      </c>
      <c r="D197" s="15" t="s">
        <v>6</v>
      </c>
      <c r="E197" s="15" t="s">
        <v>815</v>
      </c>
      <c r="F197" s="19" t="str">
        <f>VLOOKUP( $A197, Sovereignty!$A$2:$L$510, 12, 0 )</f>
        <v>x</v>
      </c>
    </row>
    <row r="198" spans="1:6" x14ac:dyDescent="0.2">
      <c r="A198" s="15" t="s">
        <v>869</v>
      </c>
      <c r="B198" s="15">
        <v>18330103</v>
      </c>
      <c r="C198" s="15">
        <v>20261231</v>
      </c>
      <c r="D198" s="15" t="s">
        <v>868</v>
      </c>
      <c r="E198" s="15" t="s">
        <v>868</v>
      </c>
      <c r="F198" s="19" t="str">
        <f>VLOOKUP( $A198, Sovereignty!$A$2:$L$510, 12, 0 )</f>
        <v>x</v>
      </c>
    </row>
    <row r="199" spans="1:6" x14ac:dyDescent="0.2">
      <c r="A199" s="15" t="s">
        <v>817</v>
      </c>
      <c r="B199" s="15">
        <v>18250806</v>
      </c>
      <c r="C199" s="15">
        <v>20261231</v>
      </c>
      <c r="D199" s="15" t="s">
        <v>19</v>
      </c>
      <c r="E199" s="15" t="s">
        <v>818</v>
      </c>
      <c r="F199" s="19" t="str">
        <f>VLOOKUP( $A199, Sovereignty!$A$2:$L$510, 12, 0 )</f>
        <v>x</v>
      </c>
    </row>
    <row r="200" spans="1:6" x14ac:dyDescent="0.2">
      <c r="A200" s="15" t="s">
        <v>796</v>
      </c>
      <c r="B200" s="15">
        <v>18180212</v>
      </c>
      <c r="C200" s="15">
        <v>20261231</v>
      </c>
      <c r="D200" s="15" t="s">
        <v>32</v>
      </c>
      <c r="E200" s="15" t="s">
        <v>797</v>
      </c>
      <c r="F200" s="19" t="str">
        <f>VLOOKUP( $A200, Sovereignty!$A$2:$L$510, 12, 0 )</f>
        <v>x</v>
      </c>
    </row>
    <row r="201" spans="1:6" x14ac:dyDescent="0.2">
      <c r="A201" s="15" t="s">
        <v>795</v>
      </c>
      <c r="B201" s="15">
        <v>15410101</v>
      </c>
      <c r="C201" s="15">
        <v>18180212</v>
      </c>
      <c r="D201" s="15" t="s">
        <v>2387</v>
      </c>
      <c r="E201" s="15" t="s">
        <v>798</v>
      </c>
      <c r="F201" s="19" t="str">
        <f>VLOOKUP( $A201, Sovereignty!$A$2:$L$510, 12, 0 )</f>
        <v>x</v>
      </c>
    </row>
    <row r="202" spans="1:6" x14ac:dyDescent="0.2">
      <c r="A202" s="15" t="s">
        <v>799</v>
      </c>
      <c r="B202" s="15">
        <v>18210728</v>
      </c>
      <c r="C202" s="15">
        <v>20261231</v>
      </c>
      <c r="D202" s="15" t="s">
        <v>125</v>
      </c>
      <c r="E202" s="15" t="s">
        <v>800</v>
      </c>
      <c r="F202" s="19" t="str">
        <f>VLOOKUP( $A202, Sovereignty!$A$2:$L$510, 12, 0 )</f>
        <v>x</v>
      </c>
    </row>
    <row r="203" spans="1:6" x14ac:dyDescent="0.2">
      <c r="A203" s="15" t="s">
        <v>793</v>
      </c>
      <c r="B203" s="15">
        <v>15421120</v>
      </c>
      <c r="C203" s="15">
        <v>18210728</v>
      </c>
      <c r="D203" s="15" t="s">
        <v>2386</v>
      </c>
      <c r="E203" s="15" t="s">
        <v>646</v>
      </c>
      <c r="F203" s="19" t="str">
        <f>VLOOKUP( $A203, Sovereignty!$A$2:$L$510, 12, 0 )</f>
        <v>x</v>
      </c>
    </row>
    <row r="204" spans="1:6" x14ac:dyDescent="0.2">
      <c r="A204" s="15" t="s">
        <v>810</v>
      </c>
      <c r="B204" s="15">
        <v>18350101</v>
      </c>
      <c r="C204" s="15">
        <v>20261231</v>
      </c>
      <c r="D204" s="15" t="s">
        <v>46</v>
      </c>
      <c r="E204" s="15" t="s">
        <v>2381</v>
      </c>
      <c r="F204" s="19" t="str">
        <f>VLOOKUP( $A204, Sovereignty!$A$2:$L$510, 12, 0 )</f>
        <v>x</v>
      </c>
    </row>
    <row r="205" spans="1:6" x14ac:dyDescent="0.2">
      <c r="A205" s="15" t="s">
        <v>810</v>
      </c>
      <c r="B205" s="15">
        <v>18300503</v>
      </c>
      <c r="C205" s="15">
        <v>18350101</v>
      </c>
      <c r="D205" s="15" t="s">
        <v>46</v>
      </c>
      <c r="E205" s="15" t="s">
        <v>2382</v>
      </c>
      <c r="F205" s="19" t="str">
        <f>VLOOKUP( $A205, Sovereignty!$A$2:$L$510, 12, 0 )</f>
        <v>x</v>
      </c>
    </row>
    <row r="206" spans="1:6" x14ac:dyDescent="0.2">
      <c r="A206" s="15" t="s">
        <v>806</v>
      </c>
      <c r="B206" s="15">
        <v>18860805</v>
      </c>
      <c r="C206" s="15">
        <v>20261231</v>
      </c>
      <c r="D206" s="15" t="s">
        <v>34</v>
      </c>
      <c r="E206" s="15" t="s">
        <v>805</v>
      </c>
      <c r="F206" s="19" t="str">
        <f>VLOOKUP( $A206, Sovereignty!$A$2:$L$510, 12, 0 )</f>
        <v>x</v>
      </c>
    </row>
    <row r="207" spans="1:6" x14ac:dyDescent="0.2">
      <c r="A207" s="15" t="s">
        <v>806</v>
      </c>
      <c r="B207" s="15">
        <v>18630508</v>
      </c>
      <c r="C207" s="15">
        <v>18860805</v>
      </c>
      <c r="D207" s="15" t="s">
        <v>34</v>
      </c>
      <c r="E207" s="15" t="s">
        <v>658</v>
      </c>
      <c r="F207" s="19" t="str">
        <f>VLOOKUP( $A207, Sovereignty!$A$2:$L$510, 12, 0 )</f>
        <v>x</v>
      </c>
    </row>
    <row r="208" spans="1:6" x14ac:dyDescent="0.2">
      <c r="A208" s="15" t="s">
        <v>806</v>
      </c>
      <c r="B208" s="15">
        <v>18580411</v>
      </c>
      <c r="C208" s="15">
        <v>18630508</v>
      </c>
      <c r="D208" s="15" t="s">
        <v>808</v>
      </c>
      <c r="E208" s="15" t="s">
        <v>808</v>
      </c>
      <c r="F208" s="19" t="str">
        <f>VLOOKUP( $A208, Sovereignty!$A$2:$L$510, 12, 0 )</f>
        <v>x</v>
      </c>
    </row>
    <row r="209" spans="1:6" x14ac:dyDescent="0.2">
      <c r="A209" s="15" t="s">
        <v>806</v>
      </c>
      <c r="B209" s="15">
        <v>18311119</v>
      </c>
      <c r="C209" s="15">
        <v>18580411</v>
      </c>
      <c r="D209" s="15" t="s">
        <v>650</v>
      </c>
      <c r="E209" s="15" t="s">
        <v>807</v>
      </c>
      <c r="F209" s="19" t="str">
        <f>VLOOKUP( $A209, Sovereignty!$A$2:$L$510, 12, 0 )</f>
        <v>x</v>
      </c>
    </row>
    <row r="210" spans="1:6" x14ac:dyDescent="0.2">
      <c r="A210" s="15" t="s">
        <v>806</v>
      </c>
      <c r="B210" s="15">
        <v>18191217</v>
      </c>
      <c r="C210" s="15">
        <v>18311119</v>
      </c>
      <c r="D210" s="15" t="s">
        <v>649</v>
      </c>
      <c r="E210" s="15" t="s">
        <v>805</v>
      </c>
      <c r="F210" s="19" t="str">
        <f>VLOOKUP( $A210, Sovereignty!$A$2:$L$510, 12, 0 )</f>
        <v>x</v>
      </c>
    </row>
    <row r="211" spans="1:6" x14ac:dyDescent="0.2">
      <c r="A211" s="15" t="s">
        <v>2120</v>
      </c>
      <c r="B211" s="15">
        <v>17170527</v>
      </c>
      <c r="C211" s="15">
        <v>18191217</v>
      </c>
      <c r="D211" s="15" t="s">
        <v>650</v>
      </c>
      <c r="E211" s="15" t="s">
        <v>804</v>
      </c>
      <c r="F211" s="19" t="str">
        <f>VLOOKUP( $A211, Sovereignty!$A$2:$L$510, 12, 0 )</f>
        <v>x</v>
      </c>
    </row>
    <row r="212" spans="1:6" x14ac:dyDescent="0.2">
      <c r="A212" s="15" t="s">
        <v>811</v>
      </c>
      <c r="B212" s="15">
        <v>19990202</v>
      </c>
      <c r="C212" s="15">
        <v>20261231</v>
      </c>
      <c r="D212" s="15" t="s">
        <v>178</v>
      </c>
      <c r="E212" s="15" t="s">
        <v>2385</v>
      </c>
      <c r="F212" s="19" t="str">
        <f>VLOOKUP( $A212, Sovereignty!$A$2:$L$510, 12, 0 )</f>
        <v>x</v>
      </c>
    </row>
    <row r="213" spans="1:6" x14ac:dyDescent="0.2">
      <c r="A213" s="15" t="s">
        <v>811</v>
      </c>
      <c r="B213" s="15">
        <v>19530411</v>
      </c>
      <c r="C213" s="15">
        <v>19990202</v>
      </c>
      <c r="D213" s="15" t="s">
        <v>178</v>
      </c>
      <c r="E213" s="15" t="s">
        <v>2384</v>
      </c>
      <c r="F213" s="19" t="str">
        <f>VLOOKUP( $A213, Sovereignty!$A$2:$L$510, 12, 0 )</f>
        <v>x</v>
      </c>
    </row>
    <row r="214" spans="1:6" x14ac:dyDescent="0.2">
      <c r="A214" s="15" t="s">
        <v>811</v>
      </c>
      <c r="B214" s="15">
        <v>18640422</v>
      </c>
      <c r="C214" s="15">
        <v>19530411</v>
      </c>
      <c r="D214" s="15" t="s">
        <v>178</v>
      </c>
      <c r="E214" s="15" t="s">
        <v>2380</v>
      </c>
      <c r="F214" s="19" t="str">
        <f>VLOOKUP( $A214, Sovereignty!$A$2:$L$510, 12, 0 )</f>
        <v>x</v>
      </c>
    </row>
    <row r="215" spans="1:6" x14ac:dyDescent="0.2">
      <c r="A215" s="15" t="s">
        <v>811</v>
      </c>
      <c r="B215" s="15">
        <v>18300113</v>
      </c>
      <c r="C215" s="15">
        <v>18640422</v>
      </c>
      <c r="D215" s="15" t="s">
        <v>178</v>
      </c>
      <c r="E215" s="15" t="s">
        <v>2383</v>
      </c>
      <c r="F215" s="19" t="str">
        <f>VLOOKUP( $A215, Sovereignty!$A$2:$L$510, 12, 0 )</f>
        <v>x</v>
      </c>
    </row>
    <row r="216" spans="1:6" x14ac:dyDescent="0.2">
      <c r="A216" s="15" t="s">
        <v>802</v>
      </c>
      <c r="B216" s="15">
        <v>19660526</v>
      </c>
      <c r="C216" s="15">
        <v>20261231</v>
      </c>
      <c r="D216" s="15" t="s">
        <v>64</v>
      </c>
      <c r="E216" s="15" t="s">
        <v>2354</v>
      </c>
      <c r="F216" s="19" t="str">
        <f>VLOOKUP( $A216, Sovereignty!$A$2:$L$510, 12, 0 )</f>
        <v>x</v>
      </c>
    </row>
    <row r="217" spans="1:6" x14ac:dyDescent="0.2">
      <c r="A217" s="15" t="s">
        <v>801</v>
      </c>
      <c r="B217" s="15">
        <v>18310721</v>
      </c>
      <c r="C217" s="15">
        <v>19660526</v>
      </c>
      <c r="D217" s="15" t="s">
        <v>648</v>
      </c>
      <c r="E217" s="15" t="s">
        <v>648</v>
      </c>
      <c r="F217" s="19" t="str">
        <f>VLOOKUP( $A217, Sovereignty!$A$2:$L$510, 12, 0 )</f>
        <v>x</v>
      </c>
    </row>
    <row r="218" spans="1:6" x14ac:dyDescent="0.2">
      <c r="A218" s="15" t="s">
        <v>787</v>
      </c>
      <c r="B218" s="15">
        <v>19751125</v>
      </c>
      <c r="C218" s="15">
        <v>20261231</v>
      </c>
      <c r="D218" s="15" t="s">
        <v>155</v>
      </c>
      <c r="E218" s="15" t="s">
        <v>784</v>
      </c>
      <c r="F218" s="19" t="str">
        <f>VLOOKUP( $A218, Sovereignty!$A$2:$L$510, 12, 0 )</f>
        <v>x</v>
      </c>
    </row>
    <row r="219" spans="1:6" x14ac:dyDescent="0.2">
      <c r="A219" s="15" t="s">
        <v>786</v>
      </c>
      <c r="B219" s="15">
        <v>19541215</v>
      </c>
      <c r="C219" s="15">
        <v>19751125</v>
      </c>
      <c r="D219" s="15" t="s">
        <v>155</v>
      </c>
      <c r="E219" s="15" t="s">
        <v>2423</v>
      </c>
      <c r="F219" s="19" t="str">
        <f>VLOOKUP( $A219, Sovereignty!$A$2:$L$510, 12, 0 )</f>
        <v>x</v>
      </c>
    </row>
    <row r="220" spans="1:6" x14ac:dyDescent="0.2">
      <c r="A220" s="15" t="s">
        <v>2356</v>
      </c>
      <c r="B220" s="15">
        <v>18310721</v>
      </c>
      <c r="C220" s="15">
        <v>19541215</v>
      </c>
      <c r="D220" s="15" t="s">
        <v>2422</v>
      </c>
      <c r="E220" s="15" t="s">
        <v>2422</v>
      </c>
      <c r="F220" s="19" t="str">
        <f>VLOOKUP( $A220, Sovereignty!$A$2:$L$510, 12, 0 )</f>
        <v>x</v>
      </c>
    </row>
    <row r="221" spans="1:6" x14ac:dyDescent="0.2">
      <c r="A221" s="15" t="s">
        <v>2356</v>
      </c>
      <c r="B221" s="15">
        <v>16670731</v>
      </c>
      <c r="C221" s="15">
        <v>18310721</v>
      </c>
      <c r="D221" s="15" t="s">
        <v>647</v>
      </c>
      <c r="E221" s="15" t="s">
        <v>2421</v>
      </c>
      <c r="F221" s="19" t="str">
        <f>VLOOKUP( $A221, Sovereignty!$A$2:$L$510, 12, 0 )</f>
        <v>x</v>
      </c>
    </row>
    <row r="222" spans="1:6" x14ac:dyDescent="0.2">
      <c r="A222" s="15" t="s">
        <v>2359</v>
      </c>
      <c r="B222" s="15">
        <v>19460319</v>
      </c>
      <c r="C222" s="15">
        <v>20261231</v>
      </c>
      <c r="D222" s="15" t="s">
        <v>847</v>
      </c>
      <c r="E222" s="15" t="s">
        <v>847</v>
      </c>
      <c r="F222" s="19" t="str">
        <f>VLOOKUP( $A222, Sovereignty!$A$2:$L$510, 12, 0 )</f>
        <v>x</v>
      </c>
    </row>
    <row r="223" spans="1:6" x14ac:dyDescent="0.2">
      <c r="A223" s="15" t="s">
        <v>2359</v>
      </c>
      <c r="B223" s="15">
        <v>16430926</v>
      </c>
      <c r="C223" s="15">
        <v>19460319</v>
      </c>
      <c r="D223" s="15" t="s">
        <v>847</v>
      </c>
      <c r="E223" s="15" t="s">
        <v>850</v>
      </c>
      <c r="F223" s="19" t="str">
        <f>VLOOKUP( $A223, Sovereignty!$A$2:$L$510, 12, 0 )</f>
        <v>x</v>
      </c>
    </row>
    <row r="224" spans="1:6" x14ac:dyDescent="0.2">
      <c r="A224" s="15" t="s">
        <v>668</v>
      </c>
      <c r="B224" s="15">
        <v>19650809</v>
      </c>
      <c r="C224" s="15">
        <v>20261231</v>
      </c>
      <c r="D224" s="15" t="s">
        <v>144</v>
      </c>
      <c r="E224" s="15" t="s">
        <v>667</v>
      </c>
      <c r="F224" s="19">
        <f>VLOOKUP( $A224, Sovereignty!$A$2:$L$510, 12, 0 )</f>
        <v>0</v>
      </c>
    </row>
    <row r="225" spans="1:6" x14ac:dyDescent="0.2">
      <c r="A225" s="15" t="s">
        <v>669</v>
      </c>
      <c r="B225" s="15">
        <v>19630831</v>
      </c>
      <c r="C225" s="15">
        <v>19650809</v>
      </c>
      <c r="D225" s="15" t="s">
        <v>662</v>
      </c>
      <c r="E225" s="15" t="s">
        <v>662</v>
      </c>
      <c r="F225" s="19">
        <f>VLOOKUP( $A225, Sovereignty!$A$2:$L$510, 12, 0 )</f>
        <v>0</v>
      </c>
    </row>
    <row r="226" spans="1:6" x14ac:dyDescent="0.2">
      <c r="A226" s="15" t="s">
        <v>670</v>
      </c>
      <c r="B226" s="15">
        <v>19460401</v>
      </c>
      <c r="C226" s="15">
        <v>19630831</v>
      </c>
      <c r="D226" s="15" t="s">
        <v>663</v>
      </c>
      <c r="E226" s="15" t="s">
        <v>663</v>
      </c>
      <c r="F226" s="19">
        <f>VLOOKUP( $A226, Sovereignty!$A$2:$L$510, 12, 0 )</f>
        <v>0</v>
      </c>
    </row>
    <row r="227" spans="1:6" x14ac:dyDescent="0.2">
      <c r="A227" s="15" t="s">
        <v>1493</v>
      </c>
      <c r="B227" s="15">
        <v>18260101</v>
      </c>
      <c r="C227" s="15">
        <v>19460401</v>
      </c>
      <c r="D227" s="15" t="s">
        <v>664</v>
      </c>
      <c r="E227" s="15" t="s">
        <v>664</v>
      </c>
      <c r="F227" s="19">
        <f>VLOOKUP( $A227, Sovereignty!$A$2:$L$510, 12, 0 )</f>
        <v>0</v>
      </c>
    </row>
    <row r="228" spans="1:6" x14ac:dyDescent="0.2">
      <c r="A228" s="15" t="s">
        <v>1501</v>
      </c>
      <c r="B228" s="15">
        <v>19221101</v>
      </c>
      <c r="C228" s="15">
        <v>20261231</v>
      </c>
      <c r="D228" s="15" t="s">
        <v>167</v>
      </c>
      <c r="E228" s="15" t="s">
        <v>2393</v>
      </c>
      <c r="F228" s="19">
        <f>VLOOKUP( $A228, Sovereignty!$A$2:$L$510, 12, 0 )</f>
        <v>0</v>
      </c>
    </row>
    <row r="229" spans="1:6" x14ac:dyDescent="0.2">
      <c r="A229" s="15" t="s">
        <v>1502</v>
      </c>
      <c r="B229" s="15">
        <v>14530529</v>
      </c>
      <c r="C229" s="15">
        <v>19221101</v>
      </c>
      <c r="D229" s="15" t="s">
        <v>681</v>
      </c>
      <c r="E229" s="15" t="s">
        <v>1506</v>
      </c>
      <c r="F229" s="19">
        <f>VLOOKUP( $A229, Sovereignty!$A$2:$L$510, 12, 0 )</f>
        <v>0</v>
      </c>
    </row>
    <row r="230" spans="1:6" x14ac:dyDescent="0.2">
      <c r="A230" s="15" t="s">
        <v>964</v>
      </c>
      <c r="B230" s="15">
        <v>19600816</v>
      </c>
      <c r="C230" s="15">
        <v>20261231</v>
      </c>
      <c r="D230" s="15" t="s">
        <v>238</v>
      </c>
      <c r="E230" s="15" t="s">
        <v>1512</v>
      </c>
      <c r="F230" s="19">
        <f>VLOOKUP( $A230, Sovereignty!$A$2:$L$510, 12, 0 )</f>
        <v>0</v>
      </c>
    </row>
    <row r="231" spans="1:6" x14ac:dyDescent="0.2">
      <c r="A231" s="15" t="s">
        <v>1508</v>
      </c>
      <c r="B231" s="15">
        <v>18780604</v>
      </c>
      <c r="C231" s="15">
        <v>19600816</v>
      </c>
      <c r="D231" s="15" t="s">
        <v>1507</v>
      </c>
      <c r="E231" s="15" t="s">
        <v>1507</v>
      </c>
      <c r="F231" s="19">
        <f>VLOOKUP( $A231, Sovereignty!$A$2:$L$510, 12, 0 )</f>
        <v>0</v>
      </c>
    </row>
    <row r="232" spans="1:6" x14ac:dyDescent="0.2">
      <c r="A232" s="15" t="s">
        <v>1509</v>
      </c>
      <c r="B232" s="15">
        <v>15710801</v>
      </c>
      <c r="C232" s="15">
        <v>18780604</v>
      </c>
      <c r="D232" s="15" t="s">
        <v>1510</v>
      </c>
      <c r="E232" s="15" t="s">
        <v>1510</v>
      </c>
      <c r="F232" s="19">
        <f>VLOOKUP( $A232, Sovereignty!$A$2:$L$510, 12, 0 )</f>
        <v>0</v>
      </c>
    </row>
    <row r="233" spans="1:6" x14ac:dyDescent="0.2">
      <c r="A233" s="15" t="s">
        <v>1513</v>
      </c>
      <c r="B233" s="15">
        <v>19610929</v>
      </c>
      <c r="C233" s="15">
        <v>20261231</v>
      </c>
      <c r="D233" s="15" t="s">
        <v>158</v>
      </c>
      <c r="E233" s="15" t="s">
        <v>1519</v>
      </c>
      <c r="F233" s="19">
        <f>VLOOKUP( $A233, Sovereignty!$A$2:$L$510, 12, 0 )</f>
        <v>0</v>
      </c>
    </row>
    <row r="234" spans="1:6" x14ac:dyDescent="0.2">
      <c r="A234" s="15" t="s">
        <v>1515</v>
      </c>
      <c r="B234" s="15">
        <v>19460417</v>
      </c>
      <c r="C234" s="15">
        <v>19580222</v>
      </c>
      <c r="D234" s="15" t="s">
        <v>158</v>
      </c>
      <c r="E234" s="15" t="s">
        <v>1518</v>
      </c>
      <c r="F234" s="19">
        <f>VLOOKUP( $A234, Sovereignty!$A$2:$L$510, 12, 0 )</f>
        <v>0</v>
      </c>
    </row>
    <row r="235" spans="1:6" x14ac:dyDescent="0.2">
      <c r="A235" s="15" t="s">
        <v>1514</v>
      </c>
      <c r="B235" s="15">
        <v>19230929</v>
      </c>
      <c r="C235" s="15">
        <v>19460417</v>
      </c>
      <c r="D235" s="15" t="s">
        <v>158</v>
      </c>
      <c r="E235" s="15" t="s">
        <v>1517</v>
      </c>
      <c r="F235" s="19">
        <f>VLOOKUP( $A235, Sovereignty!$A$2:$L$510, 12, 0 )</f>
        <v>0</v>
      </c>
    </row>
    <row r="236" spans="1:6" x14ac:dyDescent="0.2">
      <c r="A236" s="15" t="s">
        <v>960</v>
      </c>
      <c r="B236" s="15">
        <v>19431122</v>
      </c>
      <c r="C236" s="15">
        <v>20261231</v>
      </c>
      <c r="D236" s="15" t="s">
        <v>86</v>
      </c>
      <c r="E236" s="15" t="s">
        <v>1527</v>
      </c>
      <c r="F236" s="19">
        <f>VLOOKUP( $A236, Sovereignty!$A$2:$L$510, 12, 0 )</f>
        <v>0</v>
      </c>
    </row>
    <row r="237" spans="1:6" x14ac:dyDescent="0.2">
      <c r="A237" s="15" t="s">
        <v>954</v>
      </c>
      <c r="B237" s="15">
        <v>19480514</v>
      </c>
      <c r="C237" s="15">
        <v>20261231</v>
      </c>
      <c r="D237" s="15" t="s">
        <v>193</v>
      </c>
      <c r="E237" s="15" t="s">
        <v>1534</v>
      </c>
      <c r="F237" s="19">
        <f>VLOOKUP( $A237, Sovereignty!$A$2:$L$510, 12, 0 )</f>
        <v>0</v>
      </c>
    </row>
    <row r="238" spans="1:6" x14ac:dyDescent="0.2">
      <c r="A238" s="15" t="s">
        <v>1528</v>
      </c>
      <c r="B238" s="15">
        <v>19200425</v>
      </c>
      <c r="C238" s="15">
        <v>19480514</v>
      </c>
      <c r="D238" s="15" t="s">
        <v>1529</v>
      </c>
      <c r="E238" s="15" t="s">
        <v>1533</v>
      </c>
      <c r="F238" s="19">
        <f>VLOOKUP( $A238, Sovereignty!$A$2:$L$510, 12, 0 )</f>
        <v>0</v>
      </c>
    </row>
    <row r="239" spans="1:6" x14ac:dyDescent="0.2">
      <c r="A239" s="15" t="s">
        <v>1530</v>
      </c>
      <c r="B239" s="15">
        <v>15170101</v>
      </c>
      <c r="C239" s="15">
        <v>19200425</v>
      </c>
      <c r="D239" s="15" t="s">
        <v>287</v>
      </c>
      <c r="E239" s="15" t="s">
        <v>1532</v>
      </c>
      <c r="F239" s="19">
        <f>VLOOKUP( $A239, Sovereignty!$A$2:$L$510, 12, 0 )</f>
        <v>0</v>
      </c>
    </row>
    <row r="240" spans="1:6" x14ac:dyDescent="0.2">
      <c r="A240" s="15" t="s">
        <v>940</v>
      </c>
      <c r="B240" s="15">
        <v>19460525</v>
      </c>
      <c r="C240" s="15">
        <v>20261231</v>
      </c>
      <c r="D240" s="15" t="s">
        <v>77</v>
      </c>
      <c r="E240" s="15" t="s">
        <v>1539</v>
      </c>
      <c r="F240" s="19">
        <f>VLOOKUP( $A240, Sovereignty!$A$2:$L$510, 12, 0 )</f>
        <v>0</v>
      </c>
    </row>
    <row r="241" spans="1:6" x14ac:dyDescent="0.2">
      <c r="A241" s="15" t="s">
        <v>1535</v>
      </c>
      <c r="B241" s="15">
        <v>19210411</v>
      </c>
      <c r="C241" s="15">
        <v>19460525</v>
      </c>
      <c r="D241" s="15" t="s">
        <v>1536</v>
      </c>
      <c r="E241" s="15" t="s">
        <v>1538</v>
      </c>
      <c r="F241" s="19">
        <f>VLOOKUP( $A241, Sovereignty!$A$2:$L$510, 12, 0 )</f>
        <v>0</v>
      </c>
    </row>
    <row r="242" spans="1:6" x14ac:dyDescent="0.2">
      <c r="A242" s="15" t="s">
        <v>2364</v>
      </c>
      <c r="B242" s="15">
        <v>19320923</v>
      </c>
      <c r="C242" s="15">
        <v>20261231</v>
      </c>
      <c r="D242" s="15" t="s">
        <v>140</v>
      </c>
      <c r="E242" s="15" t="s">
        <v>1541</v>
      </c>
      <c r="F242" s="19">
        <f>VLOOKUP( $A242, Sovereignty!$A$2:$L$510, 12, 0 )</f>
        <v>0</v>
      </c>
    </row>
    <row r="243" spans="1:6" x14ac:dyDescent="0.2">
      <c r="A243" s="15" t="s">
        <v>2364</v>
      </c>
      <c r="B243" s="15">
        <v>19020113</v>
      </c>
      <c r="C243" s="15">
        <v>19320923</v>
      </c>
      <c r="D243" s="15" t="s">
        <v>1540</v>
      </c>
      <c r="E243" s="15" t="s">
        <v>1540</v>
      </c>
      <c r="F243" s="19">
        <f>VLOOKUP( $A243, Sovereignty!$A$2:$L$510, 12, 0 )</f>
        <v>0</v>
      </c>
    </row>
    <row r="244" spans="1:6" x14ac:dyDescent="0.2">
      <c r="A244" s="15" t="s">
        <v>2364</v>
      </c>
      <c r="B244" s="15">
        <v>18240101</v>
      </c>
      <c r="C244" s="15">
        <v>19020113</v>
      </c>
      <c r="D244" s="15" t="s">
        <v>1542</v>
      </c>
      <c r="E244" s="15" t="s">
        <v>1542</v>
      </c>
      <c r="F244" s="19">
        <f>VLOOKUP( $A244, Sovereignty!$A$2:$L$510, 12, 0 )</f>
        <v>0</v>
      </c>
    </row>
    <row r="245" spans="1:6" x14ac:dyDescent="0.2">
      <c r="A245" s="15" t="s">
        <v>2364</v>
      </c>
      <c r="B245" s="15">
        <v>17440101</v>
      </c>
      <c r="C245" s="15">
        <v>18240101</v>
      </c>
      <c r="D245" s="15" t="s">
        <v>1543</v>
      </c>
      <c r="E245" s="15" t="s">
        <v>1543</v>
      </c>
      <c r="F245" s="19">
        <f>VLOOKUP( $A245, Sovereignty!$A$2:$L$510, 12, 0 )</f>
        <v>0</v>
      </c>
    </row>
    <row r="246" spans="1:6" x14ac:dyDescent="0.2">
      <c r="A246" s="15" t="s">
        <v>961</v>
      </c>
      <c r="B246" s="15">
        <v>19900522</v>
      </c>
      <c r="C246" s="15">
        <v>20261231</v>
      </c>
      <c r="D246" s="15" t="s">
        <v>180</v>
      </c>
      <c r="E246" s="15" t="s">
        <v>1563</v>
      </c>
      <c r="F246" s="19">
        <f>VLOOKUP( $A246, Sovereignty!$A$2:$L$510, 12, 0 )</f>
        <v>0</v>
      </c>
    </row>
    <row r="247" spans="1:6" x14ac:dyDescent="0.2">
      <c r="A247" s="15" t="s">
        <v>2367</v>
      </c>
      <c r="B247" s="15">
        <v>19630118</v>
      </c>
      <c r="C247" s="15">
        <v>19900522</v>
      </c>
      <c r="D247" s="15" t="s">
        <v>1555</v>
      </c>
      <c r="E247" s="15" t="s">
        <v>1562</v>
      </c>
      <c r="F247" s="19">
        <f>VLOOKUP( $A247, Sovereignty!$A$2:$L$510, 12, 0 )</f>
        <v>0</v>
      </c>
    </row>
    <row r="248" spans="1:6" x14ac:dyDescent="0.2">
      <c r="A248" s="15" t="s">
        <v>1553</v>
      </c>
      <c r="B248" s="15">
        <v>18720101</v>
      </c>
      <c r="C248" s="15">
        <v>19630118</v>
      </c>
      <c r="D248" s="15" t="s">
        <v>1554</v>
      </c>
      <c r="E248" s="15" t="s">
        <v>1554</v>
      </c>
      <c r="F248" s="19">
        <f>VLOOKUP( $A248, Sovereignty!$A$2:$L$510, 12, 0 )</f>
        <v>0</v>
      </c>
    </row>
    <row r="249" spans="1:6" x14ac:dyDescent="0.2">
      <c r="A249" s="15" t="s">
        <v>1550</v>
      </c>
      <c r="B249" s="15">
        <v>19620926</v>
      </c>
      <c r="C249" s="15">
        <v>19900522</v>
      </c>
      <c r="D249" s="15" t="s">
        <v>1551</v>
      </c>
      <c r="E249" s="15" t="s">
        <v>1564</v>
      </c>
      <c r="F249" s="19">
        <f>VLOOKUP( $A249, Sovereignty!$A$2:$L$510, 12, 0 )</f>
        <v>0</v>
      </c>
    </row>
    <row r="250" spans="1:6" x14ac:dyDescent="0.2">
      <c r="A250" s="15" t="s">
        <v>1550</v>
      </c>
      <c r="B250" s="15">
        <v>19181030</v>
      </c>
      <c r="C250" s="15">
        <v>19620926</v>
      </c>
      <c r="D250" s="15" t="s">
        <v>1551</v>
      </c>
      <c r="E250" s="15" t="s">
        <v>1565</v>
      </c>
      <c r="F250" s="19">
        <f>VLOOKUP( $A250, Sovereignty!$A$2:$L$510, 12, 0 )</f>
        <v>0</v>
      </c>
    </row>
    <row r="251" spans="1:6" x14ac:dyDescent="0.2">
      <c r="A251" s="15" t="s">
        <v>1549</v>
      </c>
      <c r="B251" s="15">
        <v>18720101</v>
      </c>
      <c r="C251" s="15">
        <v>19181030</v>
      </c>
      <c r="D251" s="15" t="s">
        <v>1552</v>
      </c>
      <c r="E251" s="15" t="s">
        <v>1552</v>
      </c>
      <c r="F251" s="19">
        <f>VLOOKUP( $A251, Sovereignty!$A$2:$L$510, 12, 0 )</f>
        <v>0</v>
      </c>
    </row>
    <row r="252" spans="1:6" x14ac:dyDescent="0.2">
      <c r="A252" s="15" t="s">
        <v>1547</v>
      </c>
      <c r="B252" s="15">
        <v>15970101</v>
      </c>
      <c r="C252" s="15">
        <v>18720101</v>
      </c>
      <c r="D252" s="15" t="s">
        <v>1548</v>
      </c>
      <c r="E252" s="15" t="s">
        <v>1548</v>
      </c>
      <c r="F252" s="19">
        <f>VLOOKUP( $A252, Sovereignty!$A$2:$L$510, 12, 0 )</f>
        <v>0</v>
      </c>
    </row>
    <row r="253" spans="1:6" x14ac:dyDescent="0.2">
      <c r="A253" s="15" t="s">
        <v>945</v>
      </c>
      <c r="B253" s="15">
        <v>19661106</v>
      </c>
      <c r="C253" s="15">
        <v>20261231</v>
      </c>
      <c r="D253" s="15" t="s">
        <v>119</v>
      </c>
      <c r="E253" s="15" t="s">
        <v>1576</v>
      </c>
      <c r="F253" s="19">
        <f>VLOOKUP( $A253, Sovereignty!$A$2:$L$510, 12, 0 )</f>
        <v>0</v>
      </c>
    </row>
    <row r="254" spans="1:6" x14ac:dyDescent="0.2">
      <c r="A254" s="15" t="s">
        <v>1571</v>
      </c>
      <c r="B254" s="15">
        <v>18560101</v>
      </c>
      <c r="C254" s="15">
        <v>19661106</v>
      </c>
      <c r="D254" s="15" t="s">
        <v>1570</v>
      </c>
      <c r="E254" s="15" t="s">
        <v>1575</v>
      </c>
      <c r="F254" s="19">
        <f>VLOOKUP( $A254, Sovereignty!$A$2:$L$510, 12, 0 )</f>
        <v>0</v>
      </c>
    </row>
    <row r="255" spans="1:6" x14ac:dyDescent="0.2">
      <c r="A255" s="15" t="s">
        <v>1568</v>
      </c>
      <c r="B255" s="15">
        <v>16960101</v>
      </c>
      <c r="C255" s="15">
        <v>18560101</v>
      </c>
      <c r="D255" s="15" t="s">
        <v>1569</v>
      </c>
      <c r="E255" s="15" t="s">
        <v>1569</v>
      </c>
      <c r="F255" s="19">
        <f>VLOOKUP( $A255, Sovereignty!$A$2:$L$510, 12, 0 )</f>
        <v>0</v>
      </c>
    </row>
    <row r="256" spans="1:6" x14ac:dyDescent="0.2">
      <c r="A256" s="15" t="s">
        <v>947</v>
      </c>
      <c r="B256" s="15">
        <v>19711202</v>
      </c>
      <c r="C256" s="15">
        <v>20261231</v>
      </c>
      <c r="D256" s="15" t="s">
        <v>172</v>
      </c>
      <c r="E256" s="15" t="s">
        <v>172</v>
      </c>
      <c r="F256" s="19">
        <f>VLOOKUP( $A256, Sovereignty!$A$2:$L$510, 12, 0 )</f>
        <v>0</v>
      </c>
    </row>
    <row r="257" spans="1:6" x14ac:dyDescent="0.2">
      <c r="A257" s="15" t="s">
        <v>1577</v>
      </c>
      <c r="B257" s="15">
        <v>18200108</v>
      </c>
      <c r="C257" s="15">
        <v>19711202</v>
      </c>
      <c r="D257" s="15" t="s">
        <v>1578</v>
      </c>
      <c r="E257" s="15" t="s">
        <v>1578</v>
      </c>
      <c r="F257" s="19">
        <f>VLOOKUP( $A257, Sovereignty!$A$2:$L$510, 12, 0 )</f>
        <v>0</v>
      </c>
    </row>
    <row r="258" spans="1:6" x14ac:dyDescent="0.2">
      <c r="A258" s="15" t="s">
        <v>943</v>
      </c>
      <c r="B258" s="15">
        <v>19710903</v>
      </c>
      <c r="C258" s="15">
        <v>20261231</v>
      </c>
      <c r="D258" s="15" t="s">
        <v>129</v>
      </c>
      <c r="E258" s="15" t="s">
        <v>1581</v>
      </c>
      <c r="F258" s="19">
        <f>VLOOKUP( $A258, Sovereignty!$A$2:$L$510, 12, 0 )</f>
        <v>0</v>
      </c>
    </row>
    <row r="259" spans="1:6" x14ac:dyDescent="0.2">
      <c r="A259" s="15" t="s">
        <v>1582</v>
      </c>
      <c r="B259" s="15">
        <v>19161103</v>
      </c>
      <c r="C259" s="15">
        <v>19710903</v>
      </c>
      <c r="D259" s="15" t="s">
        <v>129</v>
      </c>
      <c r="E259" s="15" t="s">
        <v>1581</v>
      </c>
      <c r="F259" s="19">
        <f>VLOOKUP( $A259, Sovereignty!$A$2:$L$510, 12, 0 )</f>
        <v>0</v>
      </c>
    </row>
    <row r="260" spans="1:6" x14ac:dyDescent="0.2">
      <c r="A260" s="15" t="s">
        <v>939</v>
      </c>
      <c r="B260" s="15">
        <v>19710815</v>
      </c>
      <c r="C260" s="15">
        <v>20261231</v>
      </c>
      <c r="D260" s="15" t="s">
        <v>11</v>
      </c>
      <c r="E260" s="15" t="s">
        <v>1590</v>
      </c>
      <c r="F260" s="19">
        <f>VLOOKUP( $A260, Sovereignty!$A$2:$L$510, 12, 0 )</f>
        <v>0</v>
      </c>
    </row>
    <row r="261" spans="1:6" x14ac:dyDescent="0.2">
      <c r="A261" s="15" t="s">
        <v>1585</v>
      </c>
      <c r="B261" s="15">
        <v>18610531</v>
      </c>
      <c r="C261" s="15">
        <v>19710815</v>
      </c>
      <c r="D261" s="15" t="s">
        <v>11</v>
      </c>
      <c r="E261" s="15" t="s">
        <v>1589</v>
      </c>
      <c r="F261" s="19">
        <f>VLOOKUP( $A261, Sovereignty!$A$2:$L$510, 12, 0 )</f>
        <v>0</v>
      </c>
    </row>
    <row r="262" spans="1:6" x14ac:dyDescent="0.2">
      <c r="A262" s="15" t="s">
        <v>1584</v>
      </c>
      <c r="B262" s="15">
        <v>17830723</v>
      </c>
      <c r="C262" s="15">
        <v>18610531</v>
      </c>
      <c r="D262" s="15" t="s">
        <v>11</v>
      </c>
      <c r="E262" s="15" t="s">
        <v>1589</v>
      </c>
      <c r="F262" s="19">
        <f>VLOOKUP( $A262, Sovereignty!$A$2:$L$510, 12, 0 )</f>
        <v>0</v>
      </c>
    </row>
    <row r="263" spans="1:6" x14ac:dyDescent="0.2">
      <c r="A263" s="15" t="s">
        <v>677</v>
      </c>
      <c r="B263" s="15">
        <v>19610619</v>
      </c>
      <c r="C263" s="15">
        <v>20261231</v>
      </c>
      <c r="D263" s="15" t="s">
        <v>82</v>
      </c>
      <c r="E263" s="15" t="s">
        <v>676</v>
      </c>
      <c r="F263" s="19">
        <f>VLOOKUP( $A263, Sovereignty!$A$2:$L$510, 12, 0 )</f>
        <v>0</v>
      </c>
    </row>
    <row r="264" spans="1:6" x14ac:dyDescent="0.2">
      <c r="A264" s="15" t="s">
        <v>679</v>
      </c>
      <c r="B264" s="15">
        <v>18990123</v>
      </c>
      <c r="C264" s="15">
        <v>19610619</v>
      </c>
      <c r="D264" s="15" t="s">
        <v>82</v>
      </c>
      <c r="E264" s="15" t="s">
        <v>678</v>
      </c>
      <c r="F264" s="19">
        <f>VLOOKUP( $A264, Sovereignty!$A$2:$L$510, 12, 0 )</f>
        <v>0</v>
      </c>
    </row>
    <row r="265" spans="1:6" x14ac:dyDescent="0.2">
      <c r="A265" s="15" t="s">
        <v>1592</v>
      </c>
      <c r="B265" s="15">
        <v>17520101</v>
      </c>
      <c r="C265" s="15">
        <v>18990123</v>
      </c>
      <c r="D265" s="15" t="s">
        <v>82</v>
      </c>
      <c r="E265" s="15" t="s">
        <v>678</v>
      </c>
      <c r="F265" s="19">
        <f>VLOOKUP( $A265, Sovereignty!$A$2:$L$510, 12, 0 )</f>
        <v>0</v>
      </c>
    </row>
    <row r="266" spans="1:6" x14ac:dyDescent="0.2">
      <c r="A266" s="15" t="s">
        <v>948</v>
      </c>
      <c r="B266" s="15">
        <v>19321003</v>
      </c>
      <c r="C266" s="15">
        <v>20261231</v>
      </c>
      <c r="D266" s="15" t="s">
        <v>72</v>
      </c>
      <c r="E266" s="15" t="s">
        <v>1593</v>
      </c>
      <c r="F266" s="19">
        <f>VLOOKUP( $A266, Sovereignty!$A$2:$L$510, 12, 0 )</f>
        <v>0</v>
      </c>
    </row>
    <row r="267" spans="1:6" x14ac:dyDescent="0.2">
      <c r="A267" s="15" t="s">
        <v>1597</v>
      </c>
      <c r="B267" s="15">
        <v>19200425</v>
      </c>
      <c r="C267" s="15">
        <v>19321003</v>
      </c>
      <c r="D267" s="15" t="s">
        <v>1598</v>
      </c>
      <c r="E267" s="15" t="s">
        <v>1593</v>
      </c>
      <c r="F267" s="19">
        <f>VLOOKUP( $A267, Sovereignty!$A$2:$L$510, 12, 0 )</f>
        <v>0</v>
      </c>
    </row>
    <row r="268" spans="1:6" x14ac:dyDescent="0.2">
      <c r="A268" s="15" t="s">
        <v>1596</v>
      </c>
      <c r="B268" s="15">
        <v>15340101</v>
      </c>
      <c r="C268" s="15">
        <v>19200425</v>
      </c>
      <c r="D268" s="15" t="s">
        <v>1595</v>
      </c>
      <c r="E268" s="15" t="s">
        <v>1595</v>
      </c>
      <c r="F268" s="19">
        <f>VLOOKUP( $A268, Sovereignty!$A$2:$L$510, 12, 0 )</f>
        <v>0</v>
      </c>
    </row>
    <row r="269" spans="1:6" x14ac:dyDescent="0.2">
      <c r="A269" s="15" t="s">
        <v>1642</v>
      </c>
      <c r="B269" s="15">
        <v>19790211</v>
      </c>
      <c r="C269" s="15">
        <v>20261231</v>
      </c>
      <c r="D269" s="15" t="s">
        <v>71</v>
      </c>
      <c r="E269" s="15" t="s">
        <v>1646</v>
      </c>
      <c r="F269" s="19">
        <f>VLOOKUP( $A269, Sovereignty!$A$2:$L$510, 12, 0 )</f>
        <v>0</v>
      </c>
    </row>
    <row r="270" spans="1:6" x14ac:dyDescent="0.2">
      <c r="A270" s="15" t="s">
        <v>1642</v>
      </c>
      <c r="B270" s="15">
        <v>19251215</v>
      </c>
      <c r="C270" s="15">
        <v>19790211</v>
      </c>
      <c r="D270" s="15" t="s">
        <v>1645</v>
      </c>
      <c r="E270" s="15" t="s">
        <v>1648</v>
      </c>
      <c r="F270" s="19">
        <f>VLOOKUP( $A270, Sovereignty!$A$2:$L$510, 12, 0 )</f>
        <v>0</v>
      </c>
    </row>
    <row r="271" spans="1:6" x14ac:dyDescent="0.2">
      <c r="A271" s="15" t="s">
        <v>1642</v>
      </c>
      <c r="B271" s="15">
        <v>17890101</v>
      </c>
      <c r="C271" s="15">
        <v>19251215</v>
      </c>
      <c r="D271" s="15" t="s">
        <v>1644</v>
      </c>
      <c r="E271" s="15" t="s">
        <v>1649</v>
      </c>
      <c r="F271" s="19">
        <f>VLOOKUP( $A271, Sovereignty!$A$2:$L$510, 12, 0 )</f>
        <v>0</v>
      </c>
    </row>
    <row r="272" spans="1:6" x14ac:dyDescent="0.2">
      <c r="A272" s="15" t="s">
        <v>1642</v>
      </c>
      <c r="B272" s="15">
        <v>17360122</v>
      </c>
      <c r="C272" s="15">
        <v>17890101</v>
      </c>
      <c r="D272" s="15" t="s">
        <v>1643</v>
      </c>
      <c r="E272" s="15" t="s">
        <v>1649</v>
      </c>
      <c r="F272" s="19">
        <f>VLOOKUP( $A272, Sovereignty!$A$2:$L$510, 12, 0 )</f>
        <v>0</v>
      </c>
    </row>
    <row r="273" spans="1:6" x14ac:dyDescent="0.2">
      <c r="A273" s="15" t="s">
        <v>1642</v>
      </c>
      <c r="B273" s="15">
        <v>15010101</v>
      </c>
      <c r="C273" s="15">
        <v>17360122</v>
      </c>
      <c r="D273" s="15" t="s">
        <v>1641</v>
      </c>
      <c r="E273" s="15" t="s">
        <v>1649</v>
      </c>
      <c r="F273" s="19">
        <f>VLOOKUP( $A273, Sovereignty!$A$2:$L$510, 12, 0 )</f>
        <v>0</v>
      </c>
    </row>
    <row r="274" spans="1:6" x14ac:dyDescent="0.2">
      <c r="A274" s="15" t="s">
        <v>1651</v>
      </c>
      <c r="B274" s="15">
        <v>20210907</v>
      </c>
      <c r="C274" s="15">
        <v>20261231</v>
      </c>
      <c r="D274" s="15" t="s">
        <v>0</v>
      </c>
      <c r="E274" s="15" t="s">
        <v>1650</v>
      </c>
      <c r="F274" s="19">
        <f>VLOOKUP( $A274, Sovereignty!$A$2:$L$510, 12, 0 )</f>
        <v>0</v>
      </c>
    </row>
    <row r="275" spans="1:6" x14ac:dyDescent="0.2">
      <c r="A275" s="15" t="s">
        <v>1651</v>
      </c>
      <c r="B275" s="15">
        <v>20011007</v>
      </c>
      <c r="C275" s="15">
        <v>20210907</v>
      </c>
      <c r="D275" s="15" t="s">
        <v>0</v>
      </c>
      <c r="E275" s="15" t="s">
        <v>1661</v>
      </c>
      <c r="F275" s="19">
        <f>VLOOKUP( $A275, Sovereignty!$A$2:$L$510, 12, 0 )</f>
        <v>0</v>
      </c>
    </row>
    <row r="276" spans="1:6" x14ac:dyDescent="0.2">
      <c r="A276" s="15" t="s">
        <v>1651</v>
      </c>
      <c r="B276" s="15">
        <v>19960927</v>
      </c>
      <c r="C276" s="15">
        <v>20011007</v>
      </c>
      <c r="D276" s="15" t="s">
        <v>0</v>
      </c>
      <c r="E276" s="15" t="s">
        <v>1650</v>
      </c>
      <c r="F276" s="19">
        <f>VLOOKUP( $A276, Sovereignty!$A$2:$L$510, 12, 0 )</f>
        <v>0</v>
      </c>
    </row>
    <row r="277" spans="1:6" x14ac:dyDescent="0.2">
      <c r="A277" s="15" t="s">
        <v>1651</v>
      </c>
      <c r="B277" s="15">
        <v>19920428</v>
      </c>
      <c r="C277" s="15">
        <v>19960927</v>
      </c>
      <c r="D277" s="15" t="s">
        <v>0</v>
      </c>
      <c r="E277" s="15" t="s">
        <v>1660</v>
      </c>
      <c r="F277" s="19">
        <f>VLOOKUP( $A277, Sovereignty!$A$2:$L$510, 12, 0 )</f>
        <v>0</v>
      </c>
    </row>
    <row r="278" spans="1:6" x14ac:dyDescent="0.2">
      <c r="A278" s="15" t="s">
        <v>1651</v>
      </c>
      <c r="B278" s="15">
        <v>19780430</v>
      </c>
      <c r="C278" s="15">
        <v>19920428</v>
      </c>
      <c r="D278" s="15" t="s">
        <v>0</v>
      </c>
      <c r="E278" s="15" t="s">
        <v>1659</v>
      </c>
      <c r="F278" s="19">
        <f>VLOOKUP( $A278, Sovereignty!$A$2:$L$510, 12, 0 )</f>
        <v>0</v>
      </c>
    </row>
    <row r="279" spans="1:6" x14ac:dyDescent="0.2">
      <c r="A279" s="15" t="s">
        <v>1651</v>
      </c>
      <c r="B279" s="15">
        <v>19730717</v>
      </c>
      <c r="C279" s="15">
        <v>19780430</v>
      </c>
      <c r="D279" s="15" t="s">
        <v>0</v>
      </c>
      <c r="E279" s="15" t="s">
        <v>1658</v>
      </c>
      <c r="F279" s="19">
        <f>VLOOKUP( $A279, Sovereignty!$A$2:$L$510, 12, 0 )</f>
        <v>0</v>
      </c>
    </row>
    <row r="280" spans="1:6" x14ac:dyDescent="0.2">
      <c r="A280" s="15" t="s">
        <v>1651</v>
      </c>
      <c r="B280" s="15">
        <v>19260609</v>
      </c>
      <c r="C280" s="15">
        <v>19730717</v>
      </c>
      <c r="D280" s="15" t="s">
        <v>0</v>
      </c>
      <c r="E280" s="15" t="s">
        <v>1657</v>
      </c>
      <c r="F280" s="19">
        <f>VLOOKUP( $A280, Sovereignty!$A$2:$L$510, 12, 0 )</f>
        <v>0</v>
      </c>
    </row>
    <row r="281" spans="1:6" x14ac:dyDescent="0.2">
      <c r="A281" s="15" t="s">
        <v>1651</v>
      </c>
      <c r="B281" s="15">
        <v>18230101</v>
      </c>
      <c r="C281" s="15">
        <v>19260609</v>
      </c>
      <c r="D281" s="15" t="s">
        <v>0</v>
      </c>
      <c r="E281" s="15" t="s">
        <v>1656</v>
      </c>
      <c r="F281" s="19">
        <f>VLOOKUP( $A281, Sovereignty!$A$2:$L$510, 12, 0 )</f>
        <v>0</v>
      </c>
    </row>
    <row r="282" spans="1:6" x14ac:dyDescent="0.2">
      <c r="A282" s="15" t="s">
        <v>1651</v>
      </c>
      <c r="B282" s="15">
        <v>17470601</v>
      </c>
      <c r="C282" s="15">
        <v>18230101</v>
      </c>
      <c r="D282" s="15" t="s">
        <v>0</v>
      </c>
      <c r="E282" s="15" t="s">
        <v>1653</v>
      </c>
      <c r="F282" s="19">
        <f>VLOOKUP( $A282, Sovereignty!$A$2:$L$510, 12, 0 )</f>
        <v>0</v>
      </c>
    </row>
    <row r="283" spans="1:6" x14ac:dyDescent="0.2">
      <c r="A283" s="15" t="s">
        <v>968</v>
      </c>
      <c r="B283" s="15">
        <v>19560323</v>
      </c>
      <c r="C283" s="15">
        <v>20261231</v>
      </c>
      <c r="D283" s="15" t="s">
        <v>120</v>
      </c>
      <c r="E283" s="15" t="s">
        <v>1662</v>
      </c>
      <c r="F283" s="19">
        <f>VLOOKUP( $A283, Sovereignty!$A$2:$L$510, 12, 0 )</f>
        <v>0</v>
      </c>
    </row>
    <row r="284" spans="1:6" x14ac:dyDescent="0.2">
      <c r="A284" s="15" t="s">
        <v>968</v>
      </c>
      <c r="B284" s="15">
        <v>19470814</v>
      </c>
      <c r="C284" s="15">
        <v>19560323</v>
      </c>
      <c r="D284" s="15" t="s">
        <v>120</v>
      </c>
      <c r="E284" s="15" t="s">
        <v>1668</v>
      </c>
      <c r="F284" s="19">
        <f>VLOOKUP( $A284, Sovereignty!$A$2:$L$510, 12, 0 )</f>
        <v>0</v>
      </c>
    </row>
    <row r="285" spans="1:6" x14ac:dyDescent="0.2">
      <c r="A285" s="15" t="s">
        <v>2247</v>
      </c>
      <c r="B285" s="15">
        <v>19500126</v>
      </c>
      <c r="C285" s="15">
        <v>20261231</v>
      </c>
      <c r="D285" s="15" t="s">
        <v>69</v>
      </c>
      <c r="E285" s="15" t="s">
        <v>1674</v>
      </c>
      <c r="F285" s="19">
        <f>VLOOKUP( $A285, Sovereignty!$A$2:$L$510, 12, 0 )</f>
        <v>0</v>
      </c>
    </row>
    <row r="286" spans="1:6" x14ac:dyDescent="0.2">
      <c r="A286" s="15" t="s">
        <v>2247</v>
      </c>
      <c r="B286" s="15">
        <v>19470815</v>
      </c>
      <c r="C286" s="15">
        <v>19500126</v>
      </c>
      <c r="D286" s="15" t="s">
        <v>69</v>
      </c>
      <c r="E286" s="15" t="s">
        <v>1673</v>
      </c>
      <c r="F286" s="19">
        <f>VLOOKUP( $A286, Sovereignty!$A$2:$L$510, 12, 0 )</f>
        <v>0</v>
      </c>
    </row>
    <row r="287" spans="1:6" x14ac:dyDescent="0.2">
      <c r="A287" s="15" t="s">
        <v>1664</v>
      </c>
      <c r="B287" s="15">
        <v>18580802</v>
      </c>
      <c r="C287" s="15">
        <v>19470815</v>
      </c>
      <c r="D287" s="15" t="s">
        <v>1692</v>
      </c>
      <c r="E287" s="15" t="s">
        <v>1663</v>
      </c>
      <c r="F287" s="19">
        <f>VLOOKUP( $A287, Sovereignty!$A$2:$L$510, 12, 0 )</f>
        <v>0</v>
      </c>
    </row>
    <row r="288" spans="1:6" x14ac:dyDescent="0.2">
      <c r="A288" s="15" t="s">
        <v>1670</v>
      </c>
      <c r="B288" s="15">
        <v>17570623</v>
      </c>
      <c r="C288" s="15">
        <v>18580802</v>
      </c>
      <c r="D288" s="15" t="s">
        <v>69</v>
      </c>
      <c r="E288" s="15" t="s">
        <v>1671</v>
      </c>
      <c r="F288" s="19">
        <f>VLOOKUP( $A288, Sovereignty!$A$2:$L$510, 12, 0 )</f>
        <v>0</v>
      </c>
    </row>
    <row r="289" spans="1:6" x14ac:dyDescent="0.2">
      <c r="A289" s="15" t="s">
        <v>967</v>
      </c>
      <c r="B289" s="15">
        <v>19720101</v>
      </c>
      <c r="C289" s="15">
        <v>20261231</v>
      </c>
      <c r="D289" s="15" t="s">
        <v>153</v>
      </c>
      <c r="E289" s="15" t="s">
        <v>1678</v>
      </c>
      <c r="F289" s="19">
        <f>VLOOKUP( $A289, Sovereignty!$A$2:$L$510, 12, 0 )</f>
        <v>0</v>
      </c>
    </row>
    <row r="290" spans="1:6" x14ac:dyDescent="0.2">
      <c r="A290" s="15" t="s">
        <v>967</v>
      </c>
      <c r="B290" s="15">
        <v>19480204</v>
      </c>
      <c r="C290" s="15">
        <v>19720101</v>
      </c>
      <c r="D290" s="15" t="s">
        <v>153</v>
      </c>
      <c r="E290" s="15" t="s">
        <v>1688</v>
      </c>
      <c r="F290" s="19">
        <f>VLOOKUP( $A290, Sovereignty!$A$2:$L$510, 12, 0 )</f>
        <v>0</v>
      </c>
    </row>
    <row r="291" spans="1:6" x14ac:dyDescent="0.2">
      <c r="A291" s="15" t="s">
        <v>1682</v>
      </c>
      <c r="B291" s="15">
        <v>18150302</v>
      </c>
      <c r="C291" s="15">
        <v>19480204</v>
      </c>
      <c r="D291" s="15" t="s">
        <v>1683</v>
      </c>
      <c r="E291" s="15" t="s">
        <v>1683</v>
      </c>
      <c r="F291" s="19">
        <f>VLOOKUP( $A291, Sovereignty!$A$2:$L$510, 12, 0 )</f>
        <v>0</v>
      </c>
    </row>
    <row r="292" spans="1:6" x14ac:dyDescent="0.2">
      <c r="A292" s="15" t="s">
        <v>1680</v>
      </c>
      <c r="B292" s="15">
        <v>14690101</v>
      </c>
      <c r="C292" s="15">
        <v>18150302</v>
      </c>
      <c r="D292" s="15" t="s">
        <v>1681</v>
      </c>
      <c r="E292" s="15" t="s">
        <v>1684</v>
      </c>
      <c r="F292" s="19">
        <f>VLOOKUP( $A292, Sovereignty!$A$2:$L$510, 12, 0 )</f>
        <v>0</v>
      </c>
    </row>
    <row r="293" spans="1:6" x14ac:dyDescent="0.2">
      <c r="A293" s="15" t="s">
        <v>942</v>
      </c>
      <c r="B293" s="15">
        <v>19650726</v>
      </c>
      <c r="C293" s="15">
        <v>20261231</v>
      </c>
      <c r="D293" s="15" t="s">
        <v>96</v>
      </c>
      <c r="E293" s="15" t="s">
        <v>1694</v>
      </c>
      <c r="F293" s="19">
        <f>VLOOKUP( $A293, Sovereignty!$A$2:$L$510, 12, 0 )</f>
        <v>0</v>
      </c>
    </row>
    <row r="294" spans="1:6" x14ac:dyDescent="0.2">
      <c r="A294" s="15" t="s">
        <v>1693</v>
      </c>
      <c r="B294" s="15">
        <v>17960101</v>
      </c>
      <c r="C294" s="15">
        <v>19650726</v>
      </c>
      <c r="D294" s="15" t="s">
        <v>96</v>
      </c>
      <c r="E294" s="15" t="s">
        <v>1690</v>
      </c>
      <c r="F294" s="19">
        <f>VLOOKUP( $A294, Sovereignty!$A$2:$L$510, 12, 0 )</f>
        <v>0</v>
      </c>
    </row>
    <row r="295" spans="1:6" x14ac:dyDescent="0.2">
      <c r="A295" s="15" t="s">
        <v>1689</v>
      </c>
      <c r="B295" s="15">
        <v>15730101</v>
      </c>
      <c r="C295" s="15">
        <v>17960101</v>
      </c>
      <c r="D295" s="15" t="s">
        <v>96</v>
      </c>
      <c r="E295" s="15" t="s">
        <v>1690</v>
      </c>
      <c r="F295" s="19">
        <f>VLOOKUP( $A295, Sovereignty!$A$2:$L$510, 12, 0 )</f>
        <v>0</v>
      </c>
    </row>
    <row r="296" spans="1:6" x14ac:dyDescent="0.2">
      <c r="A296" s="15" t="s">
        <v>963</v>
      </c>
      <c r="B296" s="15">
        <v>19711216</v>
      </c>
      <c r="C296" s="15">
        <v>20261231</v>
      </c>
      <c r="D296" s="15" t="s">
        <v>12</v>
      </c>
      <c r="E296" s="15" t="s">
        <v>1696</v>
      </c>
      <c r="F296" s="19">
        <f>VLOOKUP( $A296, Sovereignty!$A$2:$L$510, 12, 0 )</f>
        <v>0</v>
      </c>
    </row>
    <row r="297" spans="1:6" x14ac:dyDescent="0.2">
      <c r="A297" s="15" t="s">
        <v>1697</v>
      </c>
      <c r="B297" s="15">
        <v>20080528</v>
      </c>
      <c r="C297" s="15">
        <v>20261231</v>
      </c>
      <c r="D297" s="15" t="s">
        <v>111</v>
      </c>
      <c r="E297" s="15" t="s">
        <v>1700</v>
      </c>
      <c r="F297" s="19">
        <f>VLOOKUP( $A297, Sovereignty!$A$2:$L$510, 12, 0 )</f>
        <v>0</v>
      </c>
    </row>
    <row r="298" spans="1:6" x14ac:dyDescent="0.2">
      <c r="A298" s="15" t="s">
        <v>1697</v>
      </c>
      <c r="B298" s="15">
        <v>17680925</v>
      </c>
      <c r="C298" s="15">
        <v>20080528</v>
      </c>
      <c r="D298" s="15" t="s">
        <v>111</v>
      </c>
      <c r="E298" s="15" t="s">
        <v>1699</v>
      </c>
      <c r="F298" s="19">
        <f>VLOOKUP( $A298, Sovereignty!$A$2:$L$510, 12, 0 )</f>
        <v>0</v>
      </c>
    </row>
    <row r="299" spans="1:6" x14ac:dyDescent="0.2">
      <c r="A299" s="15" t="s">
        <v>1701</v>
      </c>
      <c r="B299" s="15">
        <v>1616</v>
      </c>
      <c r="C299" s="15">
        <v>20261231</v>
      </c>
      <c r="D299" s="15" t="s">
        <v>18</v>
      </c>
      <c r="E299" s="15" t="s">
        <v>1703</v>
      </c>
      <c r="F299" s="19">
        <f>VLOOKUP( $A299, Sovereignty!$A$2:$L$510, 12, 0 )</f>
        <v>0</v>
      </c>
    </row>
    <row r="300" spans="1:6" x14ac:dyDescent="0.2">
      <c r="A300" s="15" t="s">
        <v>966</v>
      </c>
      <c r="B300" s="15">
        <v>19890618</v>
      </c>
      <c r="C300" s="15">
        <v>20261231</v>
      </c>
      <c r="D300" s="15" t="s">
        <v>108</v>
      </c>
      <c r="E300" s="15" t="s">
        <v>1721</v>
      </c>
      <c r="F300" s="19">
        <f>VLOOKUP( $A300, Sovereignty!$A$2:$L$510, 12, 0 )</f>
        <v>0</v>
      </c>
    </row>
    <row r="301" spans="1:6" x14ac:dyDescent="0.2">
      <c r="A301" s="15" t="s">
        <v>966</v>
      </c>
      <c r="B301" s="15">
        <v>19480104</v>
      </c>
      <c r="C301" s="15">
        <v>19890618</v>
      </c>
      <c r="D301" s="15" t="s">
        <v>1704</v>
      </c>
      <c r="E301" s="15" t="s">
        <v>1722</v>
      </c>
      <c r="F301" s="19">
        <f>VLOOKUP( $A301, Sovereignty!$A$2:$L$510, 12, 0 )</f>
        <v>0</v>
      </c>
    </row>
    <row r="302" spans="1:6" x14ac:dyDescent="0.2">
      <c r="A302" s="15" t="s">
        <v>2365</v>
      </c>
      <c r="B302" s="15">
        <v>18851129</v>
      </c>
      <c r="C302" s="15">
        <v>19480104</v>
      </c>
      <c r="D302" s="15" t="s">
        <v>1720</v>
      </c>
      <c r="E302" s="15" t="s">
        <v>1720</v>
      </c>
      <c r="F302" s="19">
        <f>VLOOKUP( $A302, Sovereignty!$A$2:$L$510, 12, 0 )</f>
        <v>0</v>
      </c>
    </row>
    <row r="303" spans="1:6" x14ac:dyDescent="0.2">
      <c r="A303" s="15" t="s">
        <v>1705</v>
      </c>
      <c r="B303" s="15">
        <v>17520229</v>
      </c>
      <c r="C303" s="15">
        <v>18851129</v>
      </c>
      <c r="D303" s="15" t="s">
        <v>1706</v>
      </c>
      <c r="E303" s="15" t="s">
        <v>1706</v>
      </c>
      <c r="F303" s="19">
        <f>VLOOKUP( $A303, Sovereignty!$A$2:$L$510, 12, 0 )</f>
        <v>0</v>
      </c>
    </row>
    <row r="304" spans="1:6" x14ac:dyDescent="0.2">
      <c r="A304" s="15" t="s">
        <v>1723</v>
      </c>
      <c r="B304" s="15">
        <v>19490511</v>
      </c>
      <c r="C304" s="15">
        <v>20261231</v>
      </c>
      <c r="D304" s="15" t="s">
        <v>162</v>
      </c>
      <c r="E304" s="15" t="s">
        <v>1729</v>
      </c>
      <c r="F304" s="19">
        <f>VLOOKUP( $A304, Sovereignty!$A$2:$L$510, 12, 0 )</f>
        <v>0</v>
      </c>
    </row>
    <row r="305" spans="1:6" x14ac:dyDescent="0.2">
      <c r="A305" s="15" t="s">
        <v>1723</v>
      </c>
      <c r="B305" s="15">
        <v>19450908</v>
      </c>
      <c r="C305" s="15">
        <v>19490511</v>
      </c>
      <c r="D305" s="15" t="s">
        <v>1727</v>
      </c>
      <c r="E305" s="15" t="s">
        <v>1730</v>
      </c>
      <c r="F305" s="19">
        <f>VLOOKUP( $A305, Sovereignty!$A$2:$L$510, 12, 0 )</f>
        <v>0</v>
      </c>
    </row>
    <row r="306" spans="1:6" x14ac:dyDescent="0.2">
      <c r="A306" s="15" t="s">
        <v>1723</v>
      </c>
      <c r="B306" s="15">
        <v>19390624</v>
      </c>
      <c r="C306" s="15">
        <v>19450908</v>
      </c>
      <c r="D306" s="15" t="s">
        <v>162</v>
      </c>
      <c r="E306" s="15" t="s">
        <v>1729</v>
      </c>
      <c r="F306" s="19">
        <f>VLOOKUP( $A306, Sovereignty!$A$2:$L$510, 12, 0 )</f>
        <v>0</v>
      </c>
    </row>
    <row r="307" spans="1:6" x14ac:dyDescent="0.2">
      <c r="A307" s="15" t="s">
        <v>1723</v>
      </c>
      <c r="B307" s="15">
        <v>17670101</v>
      </c>
      <c r="C307" s="15">
        <v>19390624</v>
      </c>
      <c r="D307" s="15" t="s">
        <v>1727</v>
      </c>
      <c r="E307" s="15" t="s">
        <v>1730</v>
      </c>
      <c r="F307" s="19">
        <f>VLOOKUP( $A307, Sovereignty!$A$2:$L$510, 12, 0 )</f>
        <v>0</v>
      </c>
    </row>
    <row r="308" spans="1:6" x14ac:dyDescent="0.2">
      <c r="A308" s="15" t="s">
        <v>1723</v>
      </c>
      <c r="B308" s="15">
        <v>13510101</v>
      </c>
      <c r="C308" s="15">
        <v>17670101</v>
      </c>
      <c r="D308" s="15" t="s">
        <v>1728</v>
      </c>
      <c r="E308" s="15" t="s">
        <v>1728</v>
      </c>
      <c r="F308" s="19">
        <f>VLOOKUP( $A308, Sovereignty!$A$2:$L$510, 12, 0 )</f>
        <v>0</v>
      </c>
    </row>
    <row r="309" spans="1:6" x14ac:dyDescent="0.2">
      <c r="A309" s="15" t="s">
        <v>962</v>
      </c>
      <c r="B309" s="15">
        <v>19630916</v>
      </c>
      <c r="C309" s="15">
        <v>20261231</v>
      </c>
      <c r="D309" s="15" t="s">
        <v>95</v>
      </c>
      <c r="E309" s="15" t="s">
        <v>95</v>
      </c>
      <c r="F309" s="19">
        <f>VLOOKUP( $A309, Sovereignty!$A$2:$L$510, 12, 0 )</f>
        <v>0</v>
      </c>
    </row>
    <row r="310" spans="1:6" x14ac:dyDescent="0.2">
      <c r="A310" s="15" t="s">
        <v>1737</v>
      </c>
      <c r="B310" s="15">
        <v>18880614</v>
      </c>
      <c r="C310" s="15">
        <v>19630916</v>
      </c>
      <c r="D310" s="15" t="s">
        <v>1735</v>
      </c>
      <c r="E310" s="15" t="s">
        <v>1735</v>
      </c>
      <c r="F310" s="19">
        <f>VLOOKUP( $A310, Sovereignty!$A$2:$L$510, 12, 0 )</f>
        <v>0</v>
      </c>
    </row>
    <row r="311" spans="1:6" x14ac:dyDescent="0.2">
      <c r="A311" s="15" t="s">
        <v>1736</v>
      </c>
      <c r="B311" s="15">
        <v>18410924</v>
      </c>
      <c r="C311" s="15">
        <v>18880614</v>
      </c>
      <c r="D311" s="15" t="s">
        <v>1735</v>
      </c>
      <c r="E311" s="15" t="s">
        <v>1735</v>
      </c>
      <c r="F311" s="19">
        <f>VLOOKUP( $A311, Sovereignty!$A$2:$L$510, 12, 0 )</f>
        <v>0</v>
      </c>
    </row>
    <row r="312" spans="1:6" x14ac:dyDescent="0.2">
      <c r="A312" s="15" t="s">
        <v>1738</v>
      </c>
      <c r="B312" s="15">
        <v>18810826</v>
      </c>
      <c r="C312" s="15">
        <v>19630916</v>
      </c>
      <c r="D312" s="15" t="s">
        <v>1739</v>
      </c>
      <c r="E312" s="15" t="s">
        <v>1754</v>
      </c>
      <c r="F312" s="19">
        <f>VLOOKUP( $A312, Sovereignty!$A$2:$L$510, 12, 0 )</f>
        <v>0</v>
      </c>
    </row>
    <row r="313" spans="1:6" x14ac:dyDescent="0.2">
      <c r="A313" s="15" t="s">
        <v>1740</v>
      </c>
      <c r="B313" s="15">
        <v>18460101</v>
      </c>
      <c r="C313" s="15">
        <v>19460715</v>
      </c>
      <c r="D313" s="15" t="s">
        <v>1741</v>
      </c>
      <c r="E313" s="15" t="s">
        <v>1753</v>
      </c>
      <c r="F313" s="19">
        <f>VLOOKUP( $A313, Sovereignty!$A$2:$L$510, 12, 0 )</f>
        <v>0</v>
      </c>
    </row>
    <row r="314" spans="1:6" x14ac:dyDescent="0.2">
      <c r="A314" s="15" t="s">
        <v>1734</v>
      </c>
      <c r="B314" s="15">
        <v>19480131</v>
      </c>
      <c r="C314" s="15">
        <v>19630916</v>
      </c>
      <c r="D314" s="15" t="s">
        <v>1733</v>
      </c>
      <c r="E314" s="15" t="s">
        <v>1752</v>
      </c>
      <c r="F314" s="19">
        <f>VLOOKUP( $A314, Sovereignty!$A$2:$L$510, 12, 0 )</f>
        <v>0</v>
      </c>
    </row>
    <row r="315" spans="1:6" x14ac:dyDescent="0.2">
      <c r="A315" s="15" t="s">
        <v>1731</v>
      </c>
      <c r="B315" s="15">
        <v>19460401</v>
      </c>
      <c r="C315" s="15">
        <v>19480131</v>
      </c>
      <c r="D315" s="15" t="s">
        <v>1732</v>
      </c>
      <c r="E315" s="15" t="s">
        <v>1732</v>
      </c>
      <c r="F315" s="19">
        <f>VLOOKUP( $A315, Sovereignty!$A$2:$L$510, 12, 0 )</f>
        <v>0</v>
      </c>
    </row>
    <row r="316" spans="1:6" x14ac:dyDescent="0.2">
      <c r="A316" s="15" t="s">
        <v>1759</v>
      </c>
      <c r="B316" s="15">
        <v>19491227</v>
      </c>
      <c r="C316" s="15">
        <v>20261231</v>
      </c>
      <c r="D316" s="15" t="s">
        <v>70</v>
      </c>
      <c r="E316" s="15" t="s">
        <v>1763</v>
      </c>
      <c r="F316" s="19">
        <f>VLOOKUP( $A316, Sovereignty!$A$2:$L$510, 12, 0 )</f>
        <v>0</v>
      </c>
    </row>
    <row r="317" spans="1:6" x14ac:dyDescent="0.2">
      <c r="A317" s="15" t="s">
        <v>1757</v>
      </c>
      <c r="B317" s="15">
        <v>18000101</v>
      </c>
      <c r="C317" s="15">
        <v>19491227</v>
      </c>
      <c r="D317" s="15" t="s">
        <v>1758</v>
      </c>
      <c r="E317" s="15" t="s">
        <v>1758</v>
      </c>
      <c r="F317" s="19">
        <f>VLOOKUP( $A317, Sovereignty!$A$2:$L$510, 12, 0 )</f>
        <v>0</v>
      </c>
    </row>
    <row r="318" spans="1:6" x14ac:dyDescent="0.2">
      <c r="A318" s="15" t="s">
        <v>2366</v>
      </c>
      <c r="B318" s="15">
        <v>20020520</v>
      </c>
      <c r="C318" s="15">
        <v>20261231</v>
      </c>
      <c r="D318" s="15" t="s">
        <v>45</v>
      </c>
      <c r="E318" s="15" t="s">
        <v>1770</v>
      </c>
      <c r="F318" s="19">
        <f>VLOOKUP( $A318, Sovereignty!$A$2:$L$510, 12, 0 )</f>
        <v>0</v>
      </c>
    </row>
    <row r="319" spans="1:6" x14ac:dyDescent="0.2">
      <c r="A319" s="15" t="s">
        <v>1764</v>
      </c>
      <c r="B319" s="15">
        <v>17020101</v>
      </c>
      <c r="C319" s="15">
        <v>19751207</v>
      </c>
      <c r="D319" s="15" t="s">
        <v>1765</v>
      </c>
      <c r="E319" s="15" t="s">
        <v>1765</v>
      </c>
      <c r="F319" s="19">
        <f>VLOOKUP( $A319, Sovereignty!$A$2:$L$510, 12, 0 )</f>
        <v>0</v>
      </c>
    </row>
    <row r="320" spans="1:6" x14ac:dyDescent="0.2">
      <c r="A320" s="15" t="s">
        <v>949</v>
      </c>
      <c r="B320" s="15">
        <v>19840101</v>
      </c>
      <c r="C320" s="15">
        <v>20261231</v>
      </c>
      <c r="D320" s="15" t="s">
        <v>23</v>
      </c>
      <c r="E320" s="15" t="s">
        <v>1777</v>
      </c>
      <c r="F320" s="19">
        <f>VLOOKUP( $A320, Sovereignty!$A$2:$L$510, 12, 0 )</f>
        <v>0</v>
      </c>
    </row>
    <row r="321" spans="1:6" x14ac:dyDescent="0.2">
      <c r="A321" s="15" t="s">
        <v>1771</v>
      </c>
      <c r="B321" s="15">
        <v>18880917</v>
      </c>
      <c r="C321" s="15">
        <v>19840101</v>
      </c>
      <c r="D321" s="15" t="s">
        <v>23</v>
      </c>
      <c r="E321" s="15" t="s">
        <v>1776</v>
      </c>
      <c r="F321" s="19">
        <f>VLOOKUP( $A321, Sovereignty!$A$2:$L$510, 12, 0 )</f>
        <v>0</v>
      </c>
    </row>
    <row r="322" spans="1:6" x14ac:dyDescent="0.2">
      <c r="A322" s="15" t="s">
        <v>1772</v>
      </c>
      <c r="B322" s="15">
        <v>13680101</v>
      </c>
      <c r="C322" s="15">
        <v>18880917</v>
      </c>
      <c r="D322" s="15" t="s">
        <v>1773</v>
      </c>
      <c r="E322" s="15" t="s">
        <v>1773</v>
      </c>
      <c r="F322" s="19">
        <f>VLOOKUP( $A322, Sovereignty!$A$2:$L$510, 12, 0 )</f>
        <v>0</v>
      </c>
    </row>
    <row r="323" spans="1:6" x14ac:dyDescent="0.2">
      <c r="A323" s="15" t="s">
        <v>965</v>
      </c>
      <c r="B323" s="15">
        <v>19460704</v>
      </c>
      <c r="C323" s="15">
        <v>20261231</v>
      </c>
      <c r="D323" s="15" t="s">
        <v>126</v>
      </c>
      <c r="E323" s="15" t="s">
        <v>1778</v>
      </c>
      <c r="F323" s="19">
        <f>VLOOKUP( $A323, Sovereignty!$A$2:$L$510, 12, 0 )</f>
        <v>0</v>
      </c>
    </row>
    <row r="324" spans="1:6" x14ac:dyDescent="0.2">
      <c r="A324" s="15" t="s">
        <v>1779</v>
      </c>
      <c r="B324" s="15">
        <v>18981210</v>
      </c>
      <c r="C324" s="15">
        <v>19460704</v>
      </c>
      <c r="D324" s="15" t="s">
        <v>126</v>
      </c>
      <c r="E324" s="15" t="s">
        <v>126</v>
      </c>
      <c r="F324" s="19">
        <f>VLOOKUP( $A324, Sovereignty!$A$2:$L$510, 12, 0 )</f>
        <v>0</v>
      </c>
    </row>
    <row r="325" spans="1:6" x14ac:dyDescent="0.2">
      <c r="A325" s="15" t="s">
        <v>952</v>
      </c>
      <c r="B325" s="15">
        <v>19531109</v>
      </c>
      <c r="C325" s="15">
        <v>20261231</v>
      </c>
      <c r="D325" s="15" t="s">
        <v>27</v>
      </c>
      <c r="E325" s="15" t="s">
        <v>1782</v>
      </c>
      <c r="F325" s="19">
        <f>VLOOKUP( $A325, Sovereignty!$A$2:$L$510, 12, 0 )</f>
        <v>0</v>
      </c>
    </row>
    <row r="326" spans="1:6" x14ac:dyDescent="0.2">
      <c r="A326" s="15" t="s">
        <v>1784</v>
      </c>
      <c r="B326" s="15">
        <v>18630811</v>
      </c>
      <c r="C326" s="15">
        <v>19531109</v>
      </c>
      <c r="D326" s="15" t="s">
        <v>1785</v>
      </c>
      <c r="E326" s="15" t="s">
        <v>1782</v>
      </c>
      <c r="F326" s="19">
        <f>VLOOKUP( $A326, Sovereignty!$A$2:$L$510, 12, 0 )</f>
        <v>0</v>
      </c>
    </row>
    <row r="327" spans="1:6" x14ac:dyDescent="0.2">
      <c r="A327" s="15" t="s">
        <v>1786</v>
      </c>
      <c r="B327" s="15">
        <v>14310101</v>
      </c>
      <c r="C327" s="15">
        <v>18630811</v>
      </c>
      <c r="D327" s="15" t="s">
        <v>27</v>
      </c>
      <c r="E327" s="15" t="s">
        <v>1782</v>
      </c>
      <c r="F327" s="19">
        <f>VLOOKUP( $A327, Sovereignty!$A$2:$L$510, 12, 0 )</f>
        <v>0</v>
      </c>
    </row>
    <row r="328" spans="1:6" x14ac:dyDescent="0.2">
      <c r="A328" s="15" t="s">
        <v>955</v>
      </c>
      <c r="B328" s="15">
        <v>19531022</v>
      </c>
      <c r="C328" s="15">
        <v>20261231</v>
      </c>
      <c r="D328" s="15" t="s">
        <v>84</v>
      </c>
      <c r="E328" s="15" t="s">
        <v>1799</v>
      </c>
      <c r="F328" s="19">
        <f>VLOOKUP( $A328, Sovereignty!$A$2:$L$510, 12, 0 )</f>
        <v>0</v>
      </c>
    </row>
    <row r="329" spans="1:6" x14ac:dyDescent="0.2">
      <c r="A329" s="15" t="s">
        <v>1794</v>
      </c>
      <c r="B329" s="15">
        <v>18931003</v>
      </c>
      <c r="C329" s="15">
        <v>19531022</v>
      </c>
      <c r="D329" s="15" t="s">
        <v>1796</v>
      </c>
      <c r="E329" s="15" t="s">
        <v>1798</v>
      </c>
      <c r="F329" s="19">
        <f>VLOOKUP( $A329, Sovereignty!$A$2:$L$510, 12, 0 )</f>
        <v>0</v>
      </c>
    </row>
    <row r="330" spans="1:6" x14ac:dyDescent="0.2">
      <c r="A330" s="15" t="s">
        <v>1795</v>
      </c>
      <c r="B330" s="15">
        <v>17070101</v>
      </c>
      <c r="C330" s="15">
        <v>18931003</v>
      </c>
      <c r="D330" s="15" t="s">
        <v>1797</v>
      </c>
      <c r="E330" s="15" t="s">
        <v>1797</v>
      </c>
      <c r="F330" s="19">
        <f>VLOOKUP( $A330, Sovereignty!$A$2:$L$510, 12, 0 )</f>
        <v>0</v>
      </c>
    </row>
    <row r="331" spans="1:6" x14ac:dyDescent="0.2">
      <c r="A331" s="15" t="s">
        <v>957</v>
      </c>
      <c r="B331" s="15">
        <v>19760702</v>
      </c>
      <c r="C331" s="15">
        <v>20261231</v>
      </c>
      <c r="D331" s="15" t="s">
        <v>179</v>
      </c>
      <c r="E331" s="15" t="s">
        <v>1821</v>
      </c>
      <c r="F331" s="19">
        <f>VLOOKUP( $A331, Sovereignty!$A$2:$L$510, 12, 0 )</f>
        <v>0</v>
      </c>
    </row>
    <row r="332" spans="1:6" x14ac:dyDescent="0.2">
      <c r="A332" s="15" t="s">
        <v>1806</v>
      </c>
      <c r="B332" s="15">
        <v>19540721</v>
      </c>
      <c r="C332" s="15">
        <v>19750430</v>
      </c>
      <c r="D332" s="15" t="s">
        <v>1807</v>
      </c>
      <c r="E332" s="15" t="s">
        <v>1818</v>
      </c>
      <c r="F332" s="19">
        <f>VLOOKUP( $A332, Sovereignty!$A$2:$L$510, 12, 0 )</f>
        <v>0</v>
      </c>
    </row>
    <row r="333" spans="1:6" x14ac:dyDescent="0.2">
      <c r="A333" s="15" t="s">
        <v>1805</v>
      </c>
      <c r="B333" s="15">
        <v>19540721</v>
      </c>
      <c r="C333" s="15">
        <v>19760702</v>
      </c>
      <c r="D333" s="15" t="s">
        <v>1808</v>
      </c>
      <c r="E333" s="15" t="s">
        <v>1820</v>
      </c>
      <c r="F333" s="19">
        <f>VLOOKUP( $A333, Sovereignty!$A$2:$L$510, 12, 0 )</f>
        <v>0</v>
      </c>
    </row>
    <row r="334" spans="1:6" x14ac:dyDescent="0.2">
      <c r="A334" s="15" t="s">
        <v>1804</v>
      </c>
      <c r="B334" s="15">
        <v>18840606</v>
      </c>
      <c r="C334" s="15">
        <v>19540721</v>
      </c>
      <c r="D334" s="15" t="s">
        <v>1809</v>
      </c>
      <c r="E334" s="15" t="s">
        <v>1819</v>
      </c>
      <c r="F334" s="19">
        <f>VLOOKUP( $A334, Sovereignty!$A$2:$L$510, 12, 0 )</f>
        <v>0</v>
      </c>
    </row>
    <row r="335" spans="1:6" x14ac:dyDescent="0.2">
      <c r="A335" s="15" t="s">
        <v>1803</v>
      </c>
      <c r="B335" s="15">
        <v>18020601</v>
      </c>
      <c r="C335" s="15">
        <v>18840606</v>
      </c>
      <c r="D335" s="15" t="s">
        <v>1810</v>
      </c>
      <c r="E335" s="15" t="s">
        <v>1810</v>
      </c>
      <c r="F335" s="19">
        <f>VLOOKUP( $A335, Sovereignty!$A$2:$L$510, 12, 0 )</f>
        <v>0</v>
      </c>
    </row>
    <row r="336" spans="1:6" x14ac:dyDescent="0.2">
      <c r="A336" s="15" t="s">
        <v>1826</v>
      </c>
      <c r="B336" s="15">
        <v>19120101</v>
      </c>
      <c r="C336" s="15">
        <v>19491001</v>
      </c>
      <c r="D336" s="15" t="s">
        <v>33</v>
      </c>
      <c r="E336" s="15" t="s">
        <v>1832</v>
      </c>
      <c r="F336" s="19">
        <f>VLOOKUP( $A336, Sovereignty!$A$2:$L$510, 12, 0 )</f>
        <v>0</v>
      </c>
    </row>
    <row r="337" spans="1:6" x14ac:dyDescent="0.2">
      <c r="A337" s="15" t="s">
        <v>1826</v>
      </c>
      <c r="B337" s="15">
        <v>16440101</v>
      </c>
      <c r="C337" s="15">
        <v>19120101</v>
      </c>
      <c r="D337" s="15" t="s">
        <v>33</v>
      </c>
      <c r="E337" s="15" t="s">
        <v>1833</v>
      </c>
      <c r="F337" s="19">
        <f>VLOOKUP( $A337, Sovereignty!$A$2:$L$510, 12, 0 )</f>
        <v>0</v>
      </c>
    </row>
    <row r="338" spans="1:6" x14ac:dyDescent="0.2">
      <c r="A338" s="15" t="s">
        <v>1827</v>
      </c>
      <c r="B338" s="15">
        <v>19491001</v>
      </c>
      <c r="C338" s="15">
        <v>20261231</v>
      </c>
      <c r="D338" s="15" t="s">
        <v>1828</v>
      </c>
      <c r="E338" s="15" t="s">
        <v>1825</v>
      </c>
      <c r="F338" s="19">
        <f>VLOOKUP( $A338, Sovereignty!$A$2:$L$510, 12, 0 )</f>
        <v>0</v>
      </c>
    </row>
    <row r="339" spans="1:6" x14ac:dyDescent="0.2">
      <c r="A339" s="15" t="s">
        <v>956</v>
      </c>
      <c r="B339" s="15">
        <v>19491001</v>
      </c>
      <c r="C339" s="15">
        <v>20261231</v>
      </c>
      <c r="D339" s="15" t="s">
        <v>159</v>
      </c>
      <c r="E339" s="15" t="s">
        <v>1832</v>
      </c>
      <c r="F339" s="19">
        <f>VLOOKUP( $A339, Sovereignty!$A$2:$L$510, 12, 0 )</f>
        <v>0</v>
      </c>
    </row>
    <row r="340" spans="1:6" x14ac:dyDescent="0.2">
      <c r="A340" s="15" t="s">
        <v>1835</v>
      </c>
      <c r="B340" s="15">
        <v>19470503</v>
      </c>
      <c r="C340" s="15">
        <v>20261231</v>
      </c>
      <c r="D340" s="15" t="s">
        <v>76</v>
      </c>
      <c r="E340" s="15" t="s">
        <v>76</v>
      </c>
      <c r="F340" s="19">
        <f>VLOOKUP( $A340, Sovereignty!$A$2:$L$510, 12, 0 )</f>
        <v>0</v>
      </c>
    </row>
    <row r="341" spans="1:6" x14ac:dyDescent="0.2">
      <c r="A341" s="15" t="s">
        <v>1835</v>
      </c>
      <c r="B341" s="15">
        <v>18681003</v>
      </c>
      <c r="C341" s="15">
        <v>19470503</v>
      </c>
      <c r="D341" s="15" t="s">
        <v>76</v>
      </c>
      <c r="E341" s="15" t="s">
        <v>1837</v>
      </c>
      <c r="F341" s="19">
        <f>VLOOKUP( $A341, Sovereignty!$A$2:$L$510, 12, 0 )</f>
        <v>0</v>
      </c>
    </row>
    <row r="342" spans="1:6" x14ac:dyDescent="0.2">
      <c r="A342" s="15" t="s">
        <v>1835</v>
      </c>
      <c r="B342" s="15">
        <v>16030101</v>
      </c>
      <c r="C342" s="15">
        <v>18681003</v>
      </c>
      <c r="D342" s="15" t="s">
        <v>76</v>
      </c>
      <c r="E342" s="15" t="s">
        <v>1838</v>
      </c>
      <c r="F342" s="19">
        <f>VLOOKUP( $A342, Sovereignty!$A$2:$L$510, 12, 0 )</f>
        <v>0</v>
      </c>
    </row>
    <row r="343" spans="1:6" x14ac:dyDescent="0.2">
      <c r="A343" s="15" t="s">
        <v>2368</v>
      </c>
      <c r="B343" s="15">
        <v>19450815</v>
      </c>
      <c r="C343" s="15">
        <v>20261231</v>
      </c>
      <c r="D343" s="15" t="s">
        <v>150</v>
      </c>
      <c r="E343" s="15" t="s">
        <v>1851</v>
      </c>
      <c r="F343" s="19">
        <f>VLOOKUP( $A343, Sovereignty!$A$2:$L$510, 12, 0 )</f>
        <v>0</v>
      </c>
    </row>
    <row r="344" spans="1:6" x14ac:dyDescent="0.2">
      <c r="A344" s="15" t="s">
        <v>2369</v>
      </c>
      <c r="B344" s="15">
        <v>19450815</v>
      </c>
      <c r="C344" s="15">
        <v>20261231</v>
      </c>
      <c r="D344" s="15" t="s">
        <v>117</v>
      </c>
      <c r="E344" s="15" t="s">
        <v>1850</v>
      </c>
      <c r="F344" s="19">
        <f>VLOOKUP( $A344, Sovereignty!$A$2:$L$510, 12, 0 )</f>
        <v>0</v>
      </c>
    </row>
    <row r="345" spans="1:6" x14ac:dyDescent="0.2">
      <c r="A345" s="15" t="s">
        <v>1842</v>
      </c>
      <c r="B345" s="15">
        <v>19100829</v>
      </c>
      <c r="C345" s="15">
        <v>19450815</v>
      </c>
      <c r="D345" s="15" t="s">
        <v>1844</v>
      </c>
      <c r="E345" s="15" t="s">
        <v>1852</v>
      </c>
      <c r="F345" s="19">
        <f>VLOOKUP( $A345, Sovereignty!$A$2:$L$510, 12, 0 )</f>
        <v>0</v>
      </c>
    </row>
    <row r="346" spans="1:6" x14ac:dyDescent="0.2">
      <c r="A346" s="15" t="s">
        <v>1843</v>
      </c>
      <c r="B346" s="15">
        <v>13920805</v>
      </c>
      <c r="C346" s="15">
        <v>19100829</v>
      </c>
      <c r="D346" s="15" t="s">
        <v>1846</v>
      </c>
      <c r="E346" s="15" t="s">
        <v>1846</v>
      </c>
      <c r="F346" s="19">
        <f>VLOOKUP( $A346, Sovereignty!$A$2:$L$510, 12, 0 )</f>
        <v>0</v>
      </c>
    </row>
    <row r="347" spans="1:6" x14ac:dyDescent="0.2">
      <c r="A347" s="15" t="s">
        <v>1853</v>
      </c>
      <c r="B347" s="15">
        <v>19111229</v>
      </c>
      <c r="C347" s="15">
        <v>20261231</v>
      </c>
      <c r="D347" s="15" t="s">
        <v>105</v>
      </c>
      <c r="E347" s="15" t="s">
        <v>105</v>
      </c>
      <c r="F347" s="19">
        <f>VLOOKUP( $A347, Sovereignty!$A$2:$L$510, 12, 0 )</f>
        <v>0</v>
      </c>
    </row>
    <row r="348" spans="1:6" x14ac:dyDescent="0.2">
      <c r="A348" s="15" t="s">
        <v>1854</v>
      </c>
      <c r="B348" s="15">
        <v>16910101</v>
      </c>
      <c r="C348" s="15">
        <v>19111229</v>
      </c>
      <c r="D348" s="15" t="s">
        <v>1857</v>
      </c>
      <c r="E348" s="15" t="s">
        <v>1855</v>
      </c>
      <c r="F348" s="19">
        <f>VLOOKUP( $A348, Sovereignty!$A$2:$L$510, 12, 0 )</f>
        <v>0</v>
      </c>
    </row>
    <row r="349" spans="1:6" x14ac:dyDescent="0.2">
      <c r="A349" s="15" t="s">
        <v>950</v>
      </c>
      <c r="B349" s="15">
        <v>19910831</v>
      </c>
      <c r="C349" s="15">
        <v>20261231</v>
      </c>
      <c r="D349" s="15" t="s">
        <v>83</v>
      </c>
      <c r="E349" s="15" t="s">
        <v>1861</v>
      </c>
      <c r="F349" s="19">
        <f>VLOOKUP( $A349, Sovereignty!$A$2:$L$510, 12, 0 )</f>
        <v>0</v>
      </c>
    </row>
    <row r="350" spans="1:6" x14ac:dyDescent="0.2">
      <c r="A350" s="15" t="s">
        <v>953</v>
      </c>
      <c r="B350" s="15">
        <v>19910909</v>
      </c>
      <c r="C350" s="15">
        <v>20261231</v>
      </c>
      <c r="D350" s="15" t="s">
        <v>160</v>
      </c>
      <c r="E350" s="15" t="s">
        <v>1863</v>
      </c>
      <c r="F350" s="19">
        <f>VLOOKUP( $A350, Sovereignty!$A$2:$L$510, 12, 0 )</f>
        <v>0</v>
      </c>
    </row>
    <row r="351" spans="1:6" x14ac:dyDescent="0.2">
      <c r="A351" s="15" t="s">
        <v>958</v>
      </c>
      <c r="B351" s="15">
        <v>19910901</v>
      </c>
      <c r="C351" s="15">
        <v>20261231</v>
      </c>
      <c r="D351" s="15" t="s">
        <v>175</v>
      </c>
      <c r="E351" s="15" t="s">
        <v>1864</v>
      </c>
      <c r="F351" s="19">
        <f>VLOOKUP( $A351, Sovereignty!$A$2:$L$510, 12, 0 )</f>
        <v>0</v>
      </c>
    </row>
    <row r="352" spans="1:6" x14ac:dyDescent="0.2">
      <c r="A352" s="15" t="s">
        <v>951</v>
      </c>
      <c r="B352" s="15">
        <v>19900820</v>
      </c>
      <c r="C352" s="15">
        <v>20261231</v>
      </c>
      <c r="D352" s="15" t="s">
        <v>168</v>
      </c>
      <c r="E352" s="15" t="s">
        <v>168</v>
      </c>
      <c r="F352" s="19">
        <f>VLOOKUP( $A352, Sovereignty!$A$2:$L$510, 12, 0 )</f>
        <v>0</v>
      </c>
    </row>
    <row r="353" spans="1:6" x14ac:dyDescent="0.2">
      <c r="A353" s="15" t="s">
        <v>959</v>
      </c>
      <c r="B353" s="15">
        <v>19911216</v>
      </c>
      <c r="C353" s="15">
        <v>20261231</v>
      </c>
      <c r="D353" s="15" t="s">
        <v>78</v>
      </c>
      <c r="E353" s="15" t="s">
        <v>1870</v>
      </c>
      <c r="F353" s="19">
        <f>VLOOKUP( $A353, Sovereignty!$A$2:$L$510, 12, 0 )</f>
        <v>0</v>
      </c>
    </row>
    <row r="354" spans="1:6" x14ac:dyDescent="0.2">
      <c r="A354" s="15" t="s">
        <v>946</v>
      </c>
      <c r="B354" s="15">
        <v>19911018</v>
      </c>
      <c r="C354" s="15">
        <v>20261231</v>
      </c>
      <c r="D354" s="15" t="s">
        <v>10</v>
      </c>
      <c r="E354" s="15" t="s">
        <v>1872</v>
      </c>
      <c r="F354" s="19">
        <f>VLOOKUP( $A354, Sovereignty!$A$2:$L$510, 12, 0 )</f>
        <v>0</v>
      </c>
    </row>
    <row r="355" spans="1:6" x14ac:dyDescent="0.2">
      <c r="A355" s="15" t="s">
        <v>941</v>
      </c>
      <c r="B355" s="15">
        <v>19910923</v>
      </c>
      <c r="C355" s="15">
        <v>20261231</v>
      </c>
      <c r="D355" s="15" t="s">
        <v>7</v>
      </c>
      <c r="E355" s="15" t="s">
        <v>1874</v>
      </c>
      <c r="F355" s="19">
        <f>VLOOKUP( $A355, Sovereignty!$A$2:$L$510, 12, 0 )</f>
        <v>0</v>
      </c>
    </row>
    <row r="356" spans="1:6" x14ac:dyDescent="0.2">
      <c r="A356" s="15" t="s">
        <v>944</v>
      </c>
      <c r="B356" s="15">
        <v>19910409</v>
      </c>
      <c r="C356" s="15">
        <v>20261231</v>
      </c>
      <c r="D356" s="15" t="s">
        <v>192</v>
      </c>
      <c r="E356" s="15" t="s">
        <v>192</v>
      </c>
      <c r="F356" s="19">
        <f>VLOOKUP( $A356, Sovereignty!$A$2:$L$510, 12, 0 )</f>
        <v>0</v>
      </c>
    </row>
    <row r="357" spans="1:6" x14ac:dyDescent="0.2">
      <c r="A357" s="15" t="s">
        <v>991</v>
      </c>
      <c r="B357" s="15">
        <v>19910824</v>
      </c>
      <c r="C357" s="15">
        <v>20261231</v>
      </c>
      <c r="D357" s="15" t="s">
        <v>171</v>
      </c>
      <c r="E357" s="15" t="s">
        <v>171</v>
      </c>
      <c r="F357" s="19">
        <f>VLOOKUP( $A357, Sovereignty!$A$2:$L$510, 12, 0 )</f>
        <v>0</v>
      </c>
    </row>
    <row r="358" spans="1:6" x14ac:dyDescent="0.2">
      <c r="A358" s="15" t="s">
        <v>987</v>
      </c>
      <c r="B358" s="15">
        <v>19911226</v>
      </c>
      <c r="C358" s="15">
        <v>20261231</v>
      </c>
      <c r="D358" s="15" t="s">
        <v>132</v>
      </c>
      <c r="E358" s="15" t="s">
        <v>2028</v>
      </c>
      <c r="F358" s="19">
        <f>VLOOKUP( $A358, Sovereignty!$A$2:$L$510, 12, 0 )</f>
        <v>0</v>
      </c>
    </row>
    <row r="359" spans="1:6" x14ac:dyDescent="0.2">
      <c r="A359" s="15" t="s">
        <v>1877</v>
      </c>
      <c r="B359" s="15">
        <v>19221230</v>
      </c>
      <c r="C359" s="15">
        <v>19911226</v>
      </c>
      <c r="D359" s="15" t="s">
        <v>1880</v>
      </c>
      <c r="E359" s="15" t="s">
        <v>1880</v>
      </c>
      <c r="F359" s="19">
        <f>VLOOKUP( $A359, Sovereignty!$A$2:$L$510, 12, 0 )</f>
        <v>0</v>
      </c>
    </row>
    <row r="360" spans="1:6" x14ac:dyDescent="0.2">
      <c r="A360" s="15" t="s">
        <v>1885</v>
      </c>
      <c r="B360" s="15">
        <v>19171107</v>
      </c>
      <c r="C360" s="15">
        <v>19221230</v>
      </c>
      <c r="D360" s="15" t="s">
        <v>1886</v>
      </c>
      <c r="E360" s="15" t="s">
        <v>1888</v>
      </c>
      <c r="F360" s="19">
        <f>VLOOKUP( $A360, Sovereignty!$A$2:$L$510, 12, 0 )</f>
        <v>0</v>
      </c>
    </row>
    <row r="361" spans="1:6" x14ac:dyDescent="0.2">
      <c r="A361" s="15" t="s">
        <v>1878</v>
      </c>
      <c r="B361" s="15">
        <v>17210910</v>
      </c>
      <c r="C361" s="15">
        <v>19171107</v>
      </c>
      <c r="D361" s="15" t="s">
        <v>1879</v>
      </c>
      <c r="E361" s="15" t="s">
        <v>1879</v>
      </c>
      <c r="F361" s="19">
        <f>VLOOKUP( $A361, Sovereignty!$A$2:$L$510, 12, 0 )</f>
        <v>0</v>
      </c>
    </row>
    <row r="362" spans="1:6" x14ac:dyDescent="0.2">
      <c r="A362" s="15" t="s">
        <v>974</v>
      </c>
      <c r="B362" s="15">
        <v>19910825</v>
      </c>
      <c r="C362" s="15">
        <v>20261231</v>
      </c>
      <c r="D362" s="15" t="s">
        <v>14</v>
      </c>
      <c r="E362" s="15" t="s">
        <v>1890</v>
      </c>
      <c r="F362" s="19">
        <f>VLOOKUP( $A362, Sovereignty!$A$2:$L$510, 12, 0 )</f>
        <v>0</v>
      </c>
    </row>
    <row r="363" spans="1:6" x14ac:dyDescent="0.2">
      <c r="A363" s="15" t="s">
        <v>970</v>
      </c>
      <c r="B363" s="15">
        <v>19910820</v>
      </c>
      <c r="C363" s="15">
        <v>20261231</v>
      </c>
      <c r="D363" s="15" t="s">
        <v>51</v>
      </c>
      <c r="E363" s="15" t="s">
        <v>1893</v>
      </c>
      <c r="F363" s="19">
        <f>VLOOKUP( $A363, Sovereignty!$A$2:$L$510, 12, 0 )</f>
        <v>0</v>
      </c>
    </row>
    <row r="364" spans="1:6" x14ac:dyDescent="0.2">
      <c r="A364" s="15" t="s">
        <v>1891</v>
      </c>
      <c r="B364" s="15">
        <v>19180224</v>
      </c>
      <c r="C364" s="15">
        <v>19400617</v>
      </c>
      <c r="D364" s="15" t="s">
        <v>51</v>
      </c>
      <c r="E364" s="15" t="s">
        <v>1893</v>
      </c>
      <c r="F364" s="19">
        <f>VLOOKUP( $A364, Sovereignty!$A$2:$L$510, 12, 0 )</f>
        <v>0</v>
      </c>
    </row>
    <row r="365" spans="1:6" x14ac:dyDescent="0.2">
      <c r="A365" s="15" t="s">
        <v>971</v>
      </c>
      <c r="B365" s="15">
        <v>19910821</v>
      </c>
      <c r="C365" s="15">
        <v>20261231</v>
      </c>
      <c r="D365" s="15" t="s">
        <v>85</v>
      </c>
      <c r="E365" s="15" t="s">
        <v>1897</v>
      </c>
      <c r="F365" s="19">
        <f>VLOOKUP( $A365, Sovereignty!$A$2:$L$510, 12, 0 )</f>
        <v>0</v>
      </c>
    </row>
    <row r="366" spans="1:6" x14ac:dyDescent="0.2">
      <c r="A366" s="15" t="s">
        <v>1894</v>
      </c>
      <c r="B366" s="15">
        <v>19181118</v>
      </c>
      <c r="C366" s="15">
        <v>19400617</v>
      </c>
      <c r="D366" s="15" t="s">
        <v>85</v>
      </c>
      <c r="E366" s="15" t="s">
        <v>1897</v>
      </c>
      <c r="F366" s="19">
        <f>VLOOKUP( $A366, Sovereignty!$A$2:$L$510, 12, 0 )</f>
        <v>0</v>
      </c>
    </row>
    <row r="367" spans="1:6" x14ac:dyDescent="0.2">
      <c r="A367" s="15" t="s">
        <v>1895</v>
      </c>
      <c r="B367" s="15">
        <v>19180216</v>
      </c>
      <c r="C367" s="15">
        <v>19400617</v>
      </c>
      <c r="D367" s="15" t="s">
        <v>91</v>
      </c>
      <c r="E367" s="15" t="s">
        <v>1899</v>
      </c>
      <c r="F367" s="19">
        <f>VLOOKUP( $A367, Sovereignty!$A$2:$L$510, 12, 0 )</f>
        <v>0</v>
      </c>
    </row>
    <row r="368" spans="1:6" x14ac:dyDescent="0.2">
      <c r="A368" s="15" t="s">
        <v>975</v>
      </c>
      <c r="B368" s="15">
        <v>19900311</v>
      </c>
      <c r="C368" s="15">
        <v>20261231</v>
      </c>
      <c r="D368" s="15" t="s">
        <v>91</v>
      </c>
      <c r="E368" s="15" t="s">
        <v>1899</v>
      </c>
      <c r="F368" s="19">
        <f>VLOOKUP( $A368, Sovereignty!$A$2:$L$510, 12, 0 )</f>
        <v>0</v>
      </c>
    </row>
    <row r="369" spans="1:6" x14ac:dyDescent="0.2">
      <c r="A369" s="15" t="s">
        <v>2370</v>
      </c>
      <c r="B369" s="15">
        <v>19890404</v>
      </c>
      <c r="C369" s="15">
        <v>20261231</v>
      </c>
      <c r="D369" s="15" t="s">
        <v>127</v>
      </c>
      <c r="E369" s="15" t="s">
        <v>1901</v>
      </c>
      <c r="F369" s="19">
        <f>VLOOKUP( $A369, Sovereignty!$A$2:$L$510, 12, 0 )</f>
        <v>0</v>
      </c>
    </row>
    <row r="370" spans="1:6" x14ac:dyDescent="0.2">
      <c r="A370" s="15" t="s">
        <v>2370</v>
      </c>
      <c r="B370" s="15">
        <v>19520722</v>
      </c>
      <c r="C370" s="15">
        <v>19890404</v>
      </c>
      <c r="D370" s="15" t="s">
        <v>127</v>
      </c>
      <c r="E370" s="15" t="s">
        <v>1905</v>
      </c>
      <c r="F370" s="19">
        <f>VLOOKUP( $A370, Sovereignty!$A$2:$L$510, 12, 0 )</f>
        <v>0</v>
      </c>
    </row>
    <row r="371" spans="1:6" x14ac:dyDescent="0.2">
      <c r="A371" s="15" t="s">
        <v>2370</v>
      </c>
      <c r="B371" s="15">
        <v>19440722</v>
      </c>
      <c r="C371" s="15">
        <v>19520722</v>
      </c>
      <c r="D371" s="15" t="s">
        <v>127</v>
      </c>
      <c r="E371" s="15" t="s">
        <v>1901</v>
      </c>
      <c r="F371" s="19">
        <f>VLOOKUP( $A371, Sovereignty!$A$2:$L$510, 12, 0 )</f>
        <v>0</v>
      </c>
    </row>
    <row r="372" spans="1:6" x14ac:dyDescent="0.2">
      <c r="A372" s="15" t="s">
        <v>1904</v>
      </c>
      <c r="B372" s="15">
        <v>19181111</v>
      </c>
      <c r="C372" s="15">
        <v>19390917</v>
      </c>
      <c r="D372" s="15" t="s">
        <v>127</v>
      </c>
      <c r="E372" s="15" t="s">
        <v>1901</v>
      </c>
      <c r="F372" s="19">
        <f>VLOOKUP( $A372, Sovereignty!$A$2:$L$510, 12, 0 )</f>
        <v>0</v>
      </c>
    </row>
    <row r="373" spans="1:6" x14ac:dyDescent="0.2">
      <c r="A373" s="15" t="s">
        <v>983</v>
      </c>
      <c r="B373" s="15">
        <v>19930101</v>
      </c>
      <c r="C373" s="15">
        <v>20261231</v>
      </c>
      <c r="D373" s="15" t="s">
        <v>39</v>
      </c>
      <c r="E373" s="15" t="s">
        <v>39</v>
      </c>
      <c r="F373" s="19">
        <f>VLOOKUP( $A373, Sovereignty!$A$2:$L$510, 12, 0 )</f>
        <v>0</v>
      </c>
    </row>
    <row r="374" spans="1:6" x14ac:dyDescent="0.2">
      <c r="A374" s="15" t="s">
        <v>1906</v>
      </c>
      <c r="B374" s="15">
        <v>19181018</v>
      </c>
      <c r="C374" s="15">
        <v>19380930</v>
      </c>
      <c r="D374" s="15" t="s">
        <v>1907</v>
      </c>
      <c r="E374" s="15" t="s">
        <v>1909</v>
      </c>
      <c r="F374" s="19">
        <f>VLOOKUP( $A374, Sovereignty!$A$2:$L$510, 12, 0 )</f>
        <v>0</v>
      </c>
    </row>
    <row r="375" spans="1:6" x14ac:dyDescent="0.2">
      <c r="A375" s="15" t="s">
        <v>1908</v>
      </c>
      <c r="B375" s="15">
        <v>19450508</v>
      </c>
      <c r="C375" s="15">
        <v>19930101</v>
      </c>
      <c r="D375" s="15" t="s">
        <v>1907</v>
      </c>
      <c r="E375" s="15" t="s">
        <v>1909</v>
      </c>
      <c r="F375" s="19">
        <f>VLOOKUP( $A375, Sovereignty!$A$2:$L$510, 12, 0 )</f>
        <v>0</v>
      </c>
    </row>
    <row r="376" spans="1:6" x14ac:dyDescent="0.2">
      <c r="A376" s="15" t="s">
        <v>988</v>
      </c>
      <c r="B376" s="15">
        <v>19930101</v>
      </c>
      <c r="C376" s="15">
        <v>20261231</v>
      </c>
      <c r="D376" s="15" t="s">
        <v>145</v>
      </c>
      <c r="E376" s="15" t="s">
        <v>1911</v>
      </c>
      <c r="F376" s="19">
        <f>VLOOKUP( $A376, Sovereignty!$A$2:$L$510, 12, 0 )</f>
        <v>0</v>
      </c>
    </row>
    <row r="377" spans="1:6" x14ac:dyDescent="0.2">
      <c r="A377" s="15" t="s">
        <v>1913</v>
      </c>
      <c r="B377" s="15">
        <v>19181031</v>
      </c>
      <c r="C377" s="15">
        <v>20261231</v>
      </c>
      <c r="D377" s="15" t="s">
        <v>67</v>
      </c>
      <c r="E377" s="15" t="s">
        <v>67</v>
      </c>
      <c r="F377" s="19">
        <f>VLOOKUP( $A377, Sovereignty!$A$2:$L$510, 12, 0 )</f>
        <v>0</v>
      </c>
    </row>
    <row r="378" spans="1:6" x14ac:dyDescent="0.2">
      <c r="A378" s="15" t="s">
        <v>985</v>
      </c>
      <c r="B378" s="15">
        <v>18770509</v>
      </c>
      <c r="C378" s="15">
        <v>20261231</v>
      </c>
      <c r="D378" s="15" t="s">
        <v>131</v>
      </c>
      <c r="E378" s="15" t="s">
        <v>1921</v>
      </c>
      <c r="F378" s="19">
        <f>VLOOKUP( $A378, Sovereignty!$A$2:$L$510, 12, 0 )</f>
        <v>0</v>
      </c>
    </row>
    <row r="379" spans="1:6" x14ac:dyDescent="0.2">
      <c r="A379" s="15" t="s">
        <v>1917</v>
      </c>
      <c r="B379" s="15">
        <v>18660101</v>
      </c>
      <c r="C379" s="15">
        <v>18770509</v>
      </c>
      <c r="D379" s="15" t="s">
        <v>131</v>
      </c>
      <c r="E379" s="15" t="s">
        <v>1920</v>
      </c>
      <c r="F379" s="19">
        <f>VLOOKUP( $A379, Sovereignty!$A$2:$L$510, 12, 0 )</f>
        <v>0</v>
      </c>
    </row>
    <row r="380" spans="1:6" x14ac:dyDescent="0.2">
      <c r="A380" s="15" t="s">
        <v>1917</v>
      </c>
      <c r="B380" s="15">
        <v>18620101</v>
      </c>
      <c r="C380" s="15">
        <v>18660101</v>
      </c>
      <c r="D380" s="15" t="s">
        <v>131</v>
      </c>
      <c r="E380" s="15" t="s">
        <v>1919</v>
      </c>
      <c r="F380" s="19">
        <f>VLOOKUP( $A380, Sovereignty!$A$2:$L$510, 12, 0 )</f>
        <v>0</v>
      </c>
    </row>
    <row r="381" spans="1:6" x14ac:dyDescent="0.2">
      <c r="A381" s="15" t="s">
        <v>1917</v>
      </c>
      <c r="B381" s="15">
        <v>18590124</v>
      </c>
      <c r="C381" s="15">
        <v>18620101</v>
      </c>
      <c r="D381" s="15" t="s">
        <v>131</v>
      </c>
      <c r="E381" s="15" t="s">
        <v>1918</v>
      </c>
      <c r="F381" s="19">
        <f>VLOOKUP( $A381, Sovereignty!$A$2:$L$510, 12, 0 )</f>
        <v>0</v>
      </c>
    </row>
    <row r="382" spans="1:6" x14ac:dyDescent="0.2">
      <c r="A382" s="15" t="s">
        <v>972</v>
      </c>
      <c r="B382" s="15">
        <v>19910827</v>
      </c>
      <c r="C382" s="15">
        <v>20261231</v>
      </c>
      <c r="D382" s="15" t="s">
        <v>103</v>
      </c>
      <c r="E382" s="15" t="s">
        <v>1923</v>
      </c>
      <c r="F382" s="19">
        <f>VLOOKUP( $A382, Sovereignty!$A$2:$L$510, 12, 0 )</f>
        <v>0</v>
      </c>
    </row>
    <row r="383" spans="1:6" x14ac:dyDescent="0.2">
      <c r="A383" s="15" t="s">
        <v>976</v>
      </c>
      <c r="B383" s="15">
        <v>19081005</v>
      </c>
      <c r="C383" s="15">
        <v>20261231</v>
      </c>
      <c r="D383" s="15" t="s">
        <v>24</v>
      </c>
      <c r="E383" s="15" t="s">
        <v>1927</v>
      </c>
      <c r="F383" s="19">
        <f>VLOOKUP( $A383, Sovereignty!$A$2:$L$510, 12, 0 )</f>
        <v>0</v>
      </c>
    </row>
    <row r="384" spans="1:6" x14ac:dyDescent="0.2">
      <c r="A384" s="15" t="s">
        <v>1924</v>
      </c>
      <c r="B384" s="15">
        <v>18780303</v>
      </c>
      <c r="C384" s="15">
        <v>19081005</v>
      </c>
      <c r="D384" s="15" t="s">
        <v>1925</v>
      </c>
      <c r="E384" s="15" t="s">
        <v>1925</v>
      </c>
      <c r="F384" s="19">
        <f>VLOOKUP( $A384, Sovereignty!$A$2:$L$510, 12, 0 )</f>
        <v>0</v>
      </c>
    </row>
    <row r="385" spans="1:6" x14ac:dyDescent="0.2">
      <c r="A385" s="15" t="s">
        <v>1930</v>
      </c>
      <c r="B385" s="15">
        <v>19441012</v>
      </c>
      <c r="C385" s="15">
        <v>20261231</v>
      </c>
      <c r="D385" s="15" t="s">
        <v>59</v>
      </c>
      <c r="E385" s="15" t="s">
        <v>1928</v>
      </c>
      <c r="F385" s="19">
        <f>VLOOKUP( $A385, Sovereignty!$A$2:$L$510, 12, 0 )</f>
        <v>0</v>
      </c>
    </row>
    <row r="386" spans="1:6" x14ac:dyDescent="0.2">
      <c r="A386" s="15" t="s">
        <v>992</v>
      </c>
      <c r="B386" s="15">
        <v>18220101</v>
      </c>
      <c r="C386" s="15">
        <v>19410406</v>
      </c>
      <c r="D386" s="15" t="s">
        <v>59</v>
      </c>
      <c r="E386" s="15" t="s">
        <v>1928</v>
      </c>
      <c r="F386" s="19">
        <f>VLOOKUP( $A386, Sovereignty!$A$2:$L$510, 12, 0 )</f>
        <v>0</v>
      </c>
    </row>
    <row r="387" spans="1:6" x14ac:dyDescent="0.2">
      <c r="A387" s="15" t="s">
        <v>1931</v>
      </c>
      <c r="B387" s="15">
        <v>19441129</v>
      </c>
      <c r="C387" s="15">
        <v>20261231</v>
      </c>
      <c r="D387" s="15" t="s">
        <v>1</v>
      </c>
      <c r="E387" s="15" t="s">
        <v>1933</v>
      </c>
      <c r="F387" s="19">
        <f>VLOOKUP( $A387, Sovereignty!$A$2:$L$510, 12, 0 )</f>
        <v>0</v>
      </c>
    </row>
    <row r="388" spans="1:6" x14ac:dyDescent="0.2">
      <c r="A388" s="15" t="s">
        <v>978</v>
      </c>
      <c r="B388" s="15">
        <v>19121128</v>
      </c>
      <c r="C388" s="15">
        <v>19390407</v>
      </c>
      <c r="D388" s="15" t="s">
        <v>1</v>
      </c>
      <c r="E388" s="15" t="s">
        <v>1933</v>
      </c>
      <c r="F388" s="19">
        <f>VLOOKUP( $A388, Sovereignty!$A$2:$L$510, 12, 0 )</f>
        <v>0</v>
      </c>
    </row>
    <row r="389" spans="1:6" x14ac:dyDescent="0.2">
      <c r="A389" s="15" t="s">
        <v>973</v>
      </c>
      <c r="B389" s="15">
        <v>19910908</v>
      </c>
      <c r="C389" s="15">
        <v>20261231</v>
      </c>
      <c r="D389" s="15" t="s">
        <v>118</v>
      </c>
      <c r="E389" s="15" t="s">
        <v>1935</v>
      </c>
      <c r="F389" s="19">
        <f>VLOOKUP( $A389, Sovereignty!$A$2:$L$510, 12, 0 )</f>
        <v>0</v>
      </c>
    </row>
    <row r="390" spans="1:6" x14ac:dyDescent="0.2">
      <c r="A390" s="15" t="s">
        <v>2371</v>
      </c>
      <c r="B390" s="15">
        <v>20060605</v>
      </c>
      <c r="C390" s="15">
        <v>20261231</v>
      </c>
      <c r="D390" s="15" t="s">
        <v>187</v>
      </c>
      <c r="E390" s="15" t="s">
        <v>1947</v>
      </c>
      <c r="F390" s="19">
        <f>VLOOKUP( $A390, Sovereignty!$A$2:$L$510, 12, 0 )</f>
        <v>0</v>
      </c>
    </row>
    <row r="391" spans="1:6" x14ac:dyDescent="0.2">
      <c r="A391" s="15" t="s">
        <v>1937</v>
      </c>
      <c r="B391" s="15">
        <v>19181201</v>
      </c>
      <c r="C391" s="15">
        <v>19920427</v>
      </c>
      <c r="D391" s="15" t="s">
        <v>1936</v>
      </c>
      <c r="E391" s="15" t="s">
        <v>1936</v>
      </c>
      <c r="F391" s="19">
        <f>VLOOKUP( $A391, Sovereignty!$A$2:$L$510, 12, 0 )</f>
        <v>0</v>
      </c>
    </row>
    <row r="392" spans="1:6" x14ac:dyDescent="0.2">
      <c r="A392" s="15" t="s">
        <v>1938</v>
      </c>
      <c r="B392" s="15">
        <v>18820306</v>
      </c>
      <c r="C392" s="15">
        <v>19181201</v>
      </c>
      <c r="D392" s="15" t="s">
        <v>187</v>
      </c>
      <c r="E392" s="15" t="s">
        <v>1946</v>
      </c>
      <c r="F392" s="19">
        <f>VLOOKUP( $A392, Sovereignty!$A$2:$L$510, 12, 0 )</f>
        <v>0</v>
      </c>
    </row>
    <row r="393" spans="1:6" x14ac:dyDescent="0.2">
      <c r="A393" s="15" t="s">
        <v>1939</v>
      </c>
      <c r="B393" s="15">
        <v>18150101</v>
      </c>
      <c r="C393" s="15">
        <v>18820306</v>
      </c>
      <c r="D393" s="15" t="s">
        <v>1940</v>
      </c>
      <c r="E393" s="15" t="s">
        <v>1940</v>
      </c>
      <c r="F393" s="19">
        <f>VLOOKUP( $A393, Sovereignty!$A$2:$L$510, 12, 0 )</f>
        <v>0</v>
      </c>
    </row>
    <row r="394" spans="1:6" x14ac:dyDescent="0.2">
      <c r="A394" s="15" t="s">
        <v>980</v>
      </c>
      <c r="B394" s="15">
        <v>20080217</v>
      </c>
      <c r="C394" s="15">
        <v>20261231</v>
      </c>
      <c r="D394" s="15" t="s">
        <v>81</v>
      </c>
      <c r="E394" s="15" t="s">
        <v>1953</v>
      </c>
      <c r="F394" s="19">
        <f>VLOOKUP( $A394, Sovereignty!$A$2:$L$510, 12, 0 )</f>
        <v>0</v>
      </c>
    </row>
    <row r="395" spans="1:6" x14ac:dyDescent="0.2">
      <c r="A395" s="15" t="s">
        <v>1948</v>
      </c>
      <c r="B395" s="15">
        <v>20030204</v>
      </c>
      <c r="C395" s="15">
        <v>20060605</v>
      </c>
      <c r="D395" s="15" t="s">
        <v>1949</v>
      </c>
      <c r="E395" s="15" t="s">
        <v>1949</v>
      </c>
      <c r="F395" s="19">
        <f>VLOOKUP( $A395, Sovereignty!$A$2:$L$510, 12, 0 )</f>
        <v>0</v>
      </c>
    </row>
    <row r="396" spans="1:6" x14ac:dyDescent="0.2">
      <c r="A396" s="15" t="s">
        <v>1948</v>
      </c>
      <c r="B396" s="15">
        <v>19920427</v>
      </c>
      <c r="C396" s="15">
        <v>20030204</v>
      </c>
      <c r="D396" s="15" t="s">
        <v>1950</v>
      </c>
      <c r="E396" s="15" t="s">
        <v>1950</v>
      </c>
      <c r="F396" s="19">
        <f>VLOOKUP( $A396, Sovereignty!$A$2:$L$510, 12, 0 )</f>
        <v>0</v>
      </c>
    </row>
    <row r="397" spans="1:6" x14ac:dyDescent="0.2">
      <c r="A397" s="15" t="s">
        <v>2372</v>
      </c>
      <c r="B397" s="15">
        <v>20060603</v>
      </c>
      <c r="C397" s="15">
        <v>20261231</v>
      </c>
      <c r="D397" s="15" t="s">
        <v>106</v>
      </c>
      <c r="E397" s="15" t="s">
        <v>106</v>
      </c>
      <c r="F397" s="19">
        <f>VLOOKUP( $A397, Sovereignty!$A$2:$L$510, 12, 0 )</f>
        <v>0</v>
      </c>
    </row>
    <row r="398" spans="1:6" x14ac:dyDescent="0.2">
      <c r="A398" s="15" t="s">
        <v>989</v>
      </c>
      <c r="B398" s="15">
        <v>19920303</v>
      </c>
      <c r="C398" s="15">
        <v>20261231</v>
      </c>
      <c r="D398" s="15" t="s">
        <v>20</v>
      </c>
      <c r="E398" s="15" t="s">
        <v>20</v>
      </c>
      <c r="F398" s="19">
        <f>VLOOKUP( $A398, Sovereignty!$A$2:$L$510, 12, 0 )</f>
        <v>0</v>
      </c>
    </row>
    <row r="399" spans="1:6" x14ac:dyDescent="0.2">
      <c r="A399" s="15" t="s">
        <v>977</v>
      </c>
      <c r="B399" s="15">
        <v>19910625</v>
      </c>
      <c r="C399" s="15">
        <v>20261231</v>
      </c>
      <c r="D399" s="15" t="s">
        <v>37</v>
      </c>
      <c r="E399" s="15" t="s">
        <v>1956</v>
      </c>
      <c r="F399" s="19">
        <f>VLOOKUP( $A399, Sovereignty!$A$2:$L$510, 12, 0 )</f>
        <v>0</v>
      </c>
    </row>
    <row r="400" spans="1:6" x14ac:dyDescent="0.2">
      <c r="A400" s="15" t="s">
        <v>981</v>
      </c>
      <c r="B400" s="15">
        <v>19910625</v>
      </c>
      <c r="C400" s="15">
        <v>20261231</v>
      </c>
      <c r="D400" s="15" t="s">
        <v>146</v>
      </c>
      <c r="E400" s="15" t="s">
        <v>1959</v>
      </c>
      <c r="F400" s="19">
        <f>VLOOKUP( $A400, Sovereignty!$A$2:$L$510, 12, 0 )</f>
        <v>0</v>
      </c>
    </row>
    <row r="401" spans="1:6" x14ac:dyDescent="0.2">
      <c r="A401" s="15" t="s">
        <v>2373</v>
      </c>
      <c r="B401" s="15">
        <v>19450427</v>
      </c>
      <c r="C401" s="15">
        <v>20261231</v>
      </c>
      <c r="D401" s="15" t="s">
        <v>9</v>
      </c>
      <c r="E401" s="15" t="s">
        <v>1967</v>
      </c>
      <c r="F401" s="19">
        <f>VLOOKUP( $A401, Sovereignty!$A$2:$L$510, 12, 0 )</f>
        <v>0</v>
      </c>
    </row>
    <row r="402" spans="1:6" x14ac:dyDescent="0.2">
      <c r="A402" s="15" t="s">
        <v>1962</v>
      </c>
      <c r="B402" s="15">
        <v>19190912</v>
      </c>
      <c r="C402" s="15">
        <v>19380313</v>
      </c>
      <c r="D402" s="15" t="s">
        <v>9</v>
      </c>
      <c r="E402" s="15" t="s">
        <v>1967</v>
      </c>
      <c r="F402" s="19">
        <f>VLOOKUP( $A402, Sovereignty!$A$2:$L$510, 12, 0 )</f>
        <v>0</v>
      </c>
    </row>
    <row r="403" spans="1:6" x14ac:dyDescent="0.2">
      <c r="A403" s="15" t="s">
        <v>1960</v>
      </c>
      <c r="B403" s="15">
        <v>18670330</v>
      </c>
      <c r="C403" s="15">
        <v>19190912</v>
      </c>
      <c r="D403" s="15" t="s">
        <v>1961</v>
      </c>
      <c r="E403" s="15" t="s">
        <v>1966</v>
      </c>
      <c r="F403" s="19">
        <f>VLOOKUP( $A403, Sovereignty!$A$2:$L$510, 12, 0 )</f>
        <v>0</v>
      </c>
    </row>
    <row r="404" spans="1:6" x14ac:dyDescent="0.2">
      <c r="A404" s="15" t="s">
        <v>1963</v>
      </c>
      <c r="B404" s="15">
        <v>18040811</v>
      </c>
      <c r="C404" s="15">
        <v>18670330</v>
      </c>
      <c r="D404" s="15" t="s">
        <v>9</v>
      </c>
      <c r="E404" s="15" t="s">
        <v>1965</v>
      </c>
      <c r="F404" s="19">
        <f>VLOOKUP( $A404, Sovereignty!$A$2:$L$510, 12, 0 )</f>
        <v>0</v>
      </c>
    </row>
    <row r="405" spans="1:6" x14ac:dyDescent="0.2">
      <c r="A405" s="15" t="s">
        <v>1970</v>
      </c>
      <c r="B405" s="15">
        <v>18060823</v>
      </c>
      <c r="C405" s="15">
        <v>20261231</v>
      </c>
      <c r="D405" s="15" t="s">
        <v>90</v>
      </c>
      <c r="E405" s="15" t="s">
        <v>1972</v>
      </c>
      <c r="F405" s="19">
        <f>VLOOKUP( $A405, Sovereignty!$A$2:$L$510, 12, 0 )</f>
        <v>0</v>
      </c>
    </row>
    <row r="406" spans="1:6" x14ac:dyDescent="0.2">
      <c r="A406" s="15" t="s">
        <v>998</v>
      </c>
      <c r="B406" s="15">
        <v>16481024</v>
      </c>
      <c r="C406" s="15">
        <v>20261231</v>
      </c>
      <c r="D406" s="15" t="s">
        <v>157</v>
      </c>
      <c r="E406" s="15" t="s">
        <v>1974</v>
      </c>
      <c r="F406" s="19">
        <f>VLOOKUP( $A406, Sovereignty!$A$2:$L$510, 12, 0 )</f>
        <v>0</v>
      </c>
    </row>
    <row r="407" spans="1:6" x14ac:dyDescent="0.2">
      <c r="A407" s="15" t="s">
        <v>993</v>
      </c>
      <c r="B407" s="15">
        <v>18610317</v>
      </c>
      <c r="C407" s="15">
        <v>20261231</v>
      </c>
      <c r="D407" s="15" t="s">
        <v>74</v>
      </c>
      <c r="E407" s="15" t="s">
        <v>1979</v>
      </c>
      <c r="F407" s="19">
        <f>VLOOKUP( $A407, Sovereignty!$A$2:$L$510, 12, 0 )</f>
        <v>0</v>
      </c>
    </row>
    <row r="408" spans="1:6" x14ac:dyDescent="0.2">
      <c r="A408" s="15" t="s">
        <v>1975</v>
      </c>
      <c r="B408" s="15">
        <v>18150101</v>
      </c>
      <c r="C408" s="15">
        <v>18610317</v>
      </c>
      <c r="D408" s="15" t="s">
        <v>1976</v>
      </c>
      <c r="E408" s="15" t="s">
        <v>1978</v>
      </c>
      <c r="F408" s="19">
        <f>VLOOKUP( $A408, Sovereignty!$A$2:$L$510, 12, 0 )</f>
        <v>0</v>
      </c>
    </row>
    <row r="409" spans="1:6" x14ac:dyDescent="0.2">
      <c r="A409" s="15" t="s">
        <v>1980</v>
      </c>
      <c r="B409" s="15">
        <v>17200101</v>
      </c>
      <c r="C409" s="15">
        <v>18610317</v>
      </c>
      <c r="D409" s="15" t="s">
        <v>1981</v>
      </c>
      <c r="E409" s="15" t="s">
        <v>1986</v>
      </c>
      <c r="F409" s="19">
        <f>VLOOKUP( $A409, Sovereignty!$A$2:$L$510, 12, 0 )</f>
        <v>0</v>
      </c>
    </row>
    <row r="410" spans="1:6" x14ac:dyDescent="0.2">
      <c r="A410" s="15" t="s">
        <v>1988</v>
      </c>
      <c r="B410" s="15">
        <v>18161208</v>
      </c>
      <c r="C410" s="15">
        <v>18610317</v>
      </c>
      <c r="D410" s="15" t="s">
        <v>1987</v>
      </c>
      <c r="E410" s="15" t="s">
        <v>1991</v>
      </c>
      <c r="F410" s="19">
        <f>VLOOKUP( $A410, Sovereignty!$A$2:$L$510, 12, 0 )</f>
        <v>0</v>
      </c>
    </row>
    <row r="411" spans="1:6" x14ac:dyDescent="0.2">
      <c r="A411" s="15" t="s">
        <v>1992</v>
      </c>
      <c r="B411" s="15">
        <v>16311001</v>
      </c>
      <c r="C411" s="15">
        <v>20261231</v>
      </c>
      <c r="D411" s="15" t="s">
        <v>138</v>
      </c>
      <c r="E411" s="15" t="s">
        <v>1995</v>
      </c>
      <c r="F411" s="19">
        <f>VLOOKUP( $A411, Sovereignty!$A$2:$L$510, 12, 0 )</f>
        <v>0</v>
      </c>
    </row>
    <row r="412" spans="1:6" x14ac:dyDescent="0.2">
      <c r="A412" s="15" t="s">
        <v>969</v>
      </c>
      <c r="B412" s="15">
        <v>19290211</v>
      </c>
      <c r="C412" s="15">
        <v>20261231</v>
      </c>
      <c r="D412" s="15" t="s">
        <v>177</v>
      </c>
      <c r="E412" s="15" t="s">
        <v>177</v>
      </c>
      <c r="F412" s="19">
        <f>VLOOKUP( $A412, Sovereignty!$A$2:$L$510, 12, 0 )</f>
        <v>0</v>
      </c>
    </row>
    <row r="413" spans="1:6" x14ac:dyDescent="0.2">
      <c r="A413" s="15" t="s">
        <v>999</v>
      </c>
      <c r="B413" s="15">
        <v>19640921</v>
      </c>
      <c r="C413" s="15">
        <v>20261231</v>
      </c>
      <c r="D413" s="15" t="s">
        <v>98</v>
      </c>
      <c r="E413" s="15" t="s">
        <v>2009</v>
      </c>
      <c r="F413" s="19">
        <f>VLOOKUP( $A413, Sovereignty!$A$2:$L$510, 12, 0 )</f>
        <v>0</v>
      </c>
    </row>
    <row r="414" spans="1:6" x14ac:dyDescent="0.2">
      <c r="A414" s="15" t="s">
        <v>1997</v>
      </c>
      <c r="B414" s="15">
        <v>18130723</v>
      </c>
      <c r="C414" s="15">
        <v>19640921</v>
      </c>
      <c r="D414" s="15" t="s">
        <v>2002</v>
      </c>
      <c r="E414" s="15" t="s">
        <v>2008</v>
      </c>
      <c r="F414" s="19">
        <f>VLOOKUP( $A414, Sovereignty!$A$2:$L$510, 12, 0 )</f>
        <v>0</v>
      </c>
    </row>
    <row r="415" spans="1:6" x14ac:dyDescent="0.2">
      <c r="A415" s="15" t="s">
        <v>1997</v>
      </c>
      <c r="B415" s="15">
        <v>18000905</v>
      </c>
      <c r="C415" s="15">
        <v>18130723</v>
      </c>
      <c r="D415" s="15" t="s">
        <v>2002</v>
      </c>
      <c r="E415" s="15" t="s">
        <v>2007</v>
      </c>
      <c r="F415" s="19">
        <f>VLOOKUP( $A415, Sovereignty!$A$2:$L$510, 12, 0 )</f>
        <v>0</v>
      </c>
    </row>
    <row r="416" spans="1:6" x14ac:dyDescent="0.2">
      <c r="A416" s="15" t="s">
        <v>1998</v>
      </c>
      <c r="B416" s="15">
        <v>17980612</v>
      </c>
      <c r="C416" s="15">
        <v>18000905</v>
      </c>
      <c r="D416" s="15" t="s">
        <v>2001</v>
      </c>
      <c r="E416" s="15" t="s">
        <v>2001</v>
      </c>
      <c r="F416" s="19">
        <f>VLOOKUP( $A416, Sovereignty!$A$2:$L$510, 12, 0 )</f>
        <v>0</v>
      </c>
    </row>
    <row r="417" spans="1:6" x14ac:dyDescent="0.2">
      <c r="A417" s="15" t="s">
        <v>1999</v>
      </c>
      <c r="B417" s="15">
        <v>15301124</v>
      </c>
      <c r="C417" s="15">
        <v>17980612</v>
      </c>
      <c r="D417" s="15" t="s">
        <v>2000</v>
      </c>
      <c r="E417" s="15" t="s">
        <v>2003</v>
      </c>
      <c r="F417" s="19">
        <f>VLOOKUP( $A417, Sovereignty!$A$2:$L$510, 12, 0 )</f>
        <v>0</v>
      </c>
    </row>
    <row r="418" spans="1:6" x14ac:dyDescent="0.2">
      <c r="A418" s="15" t="s">
        <v>996</v>
      </c>
      <c r="B418" s="15">
        <v>18610211</v>
      </c>
      <c r="C418" s="15">
        <v>20261231</v>
      </c>
      <c r="D418" s="15" t="s">
        <v>104</v>
      </c>
      <c r="E418" s="15" t="s">
        <v>2014</v>
      </c>
      <c r="F418" s="19">
        <f>VLOOKUP( $A418, Sovereignty!$A$2:$L$510, 12, 0 )</f>
        <v>0</v>
      </c>
    </row>
    <row r="419" spans="1:6" x14ac:dyDescent="0.2">
      <c r="A419" s="15" t="s">
        <v>2011</v>
      </c>
      <c r="B419" s="15">
        <v>18140406</v>
      </c>
      <c r="C419" s="15">
        <v>18610211</v>
      </c>
      <c r="D419" s="15" t="s">
        <v>104</v>
      </c>
      <c r="E419" s="15" t="s">
        <v>2014</v>
      </c>
      <c r="F419" s="19">
        <f>VLOOKUP( $A419, Sovereignty!$A$2:$L$510, 12, 0 )</f>
        <v>0</v>
      </c>
    </row>
    <row r="420" spans="1:6" x14ac:dyDescent="0.2">
      <c r="A420" s="15" t="s">
        <v>2012</v>
      </c>
      <c r="B420" s="15">
        <v>17930130</v>
      </c>
      <c r="C420" s="15">
        <v>18140406</v>
      </c>
      <c r="D420" s="15" t="s">
        <v>104</v>
      </c>
      <c r="E420" s="15" t="s">
        <v>2014</v>
      </c>
      <c r="F420" s="19">
        <f>VLOOKUP( $A420, Sovereignty!$A$2:$L$510, 12, 0 )</f>
        <v>0</v>
      </c>
    </row>
    <row r="421" spans="1:6" x14ac:dyDescent="0.2">
      <c r="A421" s="15" t="s">
        <v>2010</v>
      </c>
      <c r="B421" s="15">
        <v>16410114</v>
      </c>
      <c r="C421" s="15">
        <v>17930130</v>
      </c>
      <c r="D421" s="15" t="s">
        <v>104</v>
      </c>
      <c r="E421" s="15" t="s">
        <v>2014</v>
      </c>
      <c r="F421" s="19">
        <f>VLOOKUP( $A421, Sovereignty!$A$2:$L$510, 12, 0 )</f>
        <v>0</v>
      </c>
    </row>
    <row r="422" spans="1:6" x14ac:dyDescent="0.2">
      <c r="A422" s="15" t="s">
        <v>2016</v>
      </c>
      <c r="B422" s="15">
        <v>11390725</v>
      </c>
      <c r="C422" s="15">
        <v>20261231</v>
      </c>
      <c r="D422" s="15" t="s">
        <v>128</v>
      </c>
      <c r="E422" s="15" t="s">
        <v>2015</v>
      </c>
      <c r="F422" s="19">
        <f>VLOOKUP( $A422, Sovereignty!$A$2:$L$510, 12, 0 )</f>
        <v>0</v>
      </c>
    </row>
    <row r="423" spans="1:6" x14ac:dyDescent="0.2">
      <c r="A423" s="15" t="s">
        <v>2018</v>
      </c>
      <c r="B423" s="15">
        <v>14360101</v>
      </c>
      <c r="C423" s="15">
        <v>20261231</v>
      </c>
      <c r="D423" s="15" t="s">
        <v>767</v>
      </c>
      <c r="E423" s="15" t="s">
        <v>874</v>
      </c>
      <c r="F423" s="19">
        <f>VLOOKUP( $A423, Sovereignty!$A$2:$L$510, 12, 0 )</f>
        <v>0</v>
      </c>
    </row>
    <row r="424" spans="1:6" x14ac:dyDescent="0.2">
      <c r="A424" s="15" t="s">
        <v>877</v>
      </c>
      <c r="B424" s="15">
        <v>14250101</v>
      </c>
      <c r="C424" s="15">
        <v>20261231</v>
      </c>
      <c r="D424" s="15" t="s">
        <v>768</v>
      </c>
      <c r="E424" s="15" t="s">
        <v>876</v>
      </c>
      <c r="F424" s="19">
        <f>VLOOKUP( $A424, Sovereignty!$A$2:$L$510, 12, 0 )</f>
        <v>0</v>
      </c>
    </row>
    <row r="425" spans="1:6" x14ac:dyDescent="0.2">
      <c r="A425" s="15" t="s">
        <v>990</v>
      </c>
      <c r="B425" s="15">
        <v>15160314</v>
      </c>
      <c r="C425" s="15">
        <v>20261231</v>
      </c>
      <c r="D425" s="15" t="s">
        <v>152</v>
      </c>
      <c r="E425" s="15" t="s">
        <v>2022</v>
      </c>
      <c r="F425" s="19">
        <f>VLOOKUP( $A425, Sovereignty!$A$2:$L$510, 12, 0 )</f>
        <v>0</v>
      </c>
    </row>
    <row r="426" spans="1:6" x14ac:dyDescent="0.2">
      <c r="A426" s="15" t="s">
        <v>2023</v>
      </c>
      <c r="B426" s="15">
        <v>12780908</v>
      </c>
      <c r="C426" s="15">
        <v>20261231</v>
      </c>
      <c r="D426" s="15" t="s">
        <v>3</v>
      </c>
      <c r="E426" s="15" t="s">
        <v>2025</v>
      </c>
      <c r="F426" s="19">
        <f>VLOOKUP( $A426, Sovereignty!$A$2:$L$510, 12, 0 )</f>
        <v>0</v>
      </c>
    </row>
    <row r="427" spans="1:6" x14ac:dyDescent="0.2">
      <c r="A427" s="15" t="s">
        <v>995</v>
      </c>
      <c r="B427" s="15">
        <v>19440825</v>
      </c>
      <c r="C427" s="15">
        <v>20261231</v>
      </c>
      <c r="D427" s="15" t="s">
        <v>184</v>
      </c>
      <c r="E427" s="15" t="s">
        <v>2133</v>
      </c>
      <c r="F427" s="19">
        <f>VLOOKUP( $A427, Sovereignty!$A$2:$L$510, 12, 0 )</f>
        <v>0</v>
      </c>
    </row>
    <row r="428" spans="1:6" x14ac:dyDescent="0.2">
      <c r="A428" s="15" t="s">
        <v>995</v>
      </c>
      <c r="B428" s="15">
        <v>19400710</v>
      </c>
      <c r="C428" s="15">
        <v>19421111</v>
      </c>
      <c r="D428" s="15" t="s">
        <v>184</v>
      </c>
      <c r="E428" s="15" t="s">
        <v>2135</v>
      </c>
      <c r="F428" s="19">
        <f>VLOOKUP( $A428, Sovereignty!$A$2:$L$510, 12, 0 )</f>
        <v>0</v>
      </c>
    </row>
    <row r="429" spans="1:6" x14ac:dyDescent="0.2">
      <c r="A429" s="15" t="s">
        <v>995</v>
      </c>
      <c r="B429" s="15">
        <v>18700904</v>
      </c>
      <c r="C429" s="15">
        <v>19400710</v>
      </c>
      <c r="D429" s="15" t="s">
        <v>184</v>
      </c>
      <c r="E429" s="15" t="s">
        <v>2133</v>
      </c>
      <c r="F429" s="19">
        <f>VLOOKUP( $A429, Sovereignty!$A$2:$L$510, 12, 0 )</f>
        <v>0</v>
      </c>
    </row>
    <row r="430" spans="1:6" x14ac:dyDescent="0.2">
      <c r="A430" s="15" t="s">
        <v>995</v>
      </c>
      <c r="B430" s="15">
        <v>18521202</v>
      </c>
      <c r="C430" s="15">
        <v>18700904</v>
      </c>
      <c r="D430" s="15" t="s">
        <v>184</v>
      </c>
      <c r="E430" s="15" t="s">
        <v>2134</v>
      </c>
      <c r="F430" s="19">
        <f>VLOOKUP( $A430, Sovereignty!$A$2:$L$510, 12, 0 )</f>
        <v>0</v>
      </c>
    </row>
    <row r="431" spans="1:6" x14ac:dyDescent="0.2">
      <c r="A431" s="15" t="s">
        <v>995</v>
      </c>
      <c r="B431" s="15">
        <v>18480224</v>
      </c>
      <c r="C431" s="15">
        <v>18521202</v>
      </c>
      <c r="D431" s="15" t="s">
        <v>184</v>
      </c>
      <c r="E431" s="15" t="s">
        <v>2133</v>
      </c>
      <c r="F431" s="19">
        <f>VLOOKUP( $A431, Sovereignty!$A$2:$L$510, 12, 0 )</f>
        <v>0</v>
      </c>
    </row>
    <row r="432" spans="1:6" x14ac:dyDescent="0.2">
      <c r="A432" s="15" t="s">
        <v>995</v>
      </c>
      <c r="B432" s="15">
        <v>18150707</v>
      </c>
      <c r="C432" s="15">
        <v>18480224</v>
      </c>
      <c r="D432" s="15" t="s">
        <v>184</v>
      </c>
      <c r="E432" s="15" t="s">
        <v>2027</v>
      </c>
      <c r="F432" s="19">
        <f>VLOOKUP( $A432, Sovereignty!$A$2:$L$510, 12, 0 )</f>
        <v>0</v>
      </c>
    </row>
    <row r="433" spans="1:6" x14ac:dyDescent="0.2">
      <c r="A433" s="15" t="s">
        <v>995</v>
      </c>
      <c r="B433" s="15">
        <v>18040518</v>
      </c>
      <c r="C433" s="15">
        <v>18150707</v>
      </c>
      <c r="D433" s="15" t="s">
        <v>184</v>
      </c>
      <c r="E433" s="15" t="s">
        <v>2134</v>
      </c>
      <c r="F433" s="19">
        <f>VLOOKUP( $A433, Sovereignty!$A$2:$L$510, 12, 0 )</f>
        <v>0</v>
      </c>
    </row>
    <row r="434" spans="1:6" x14ac:dyDescent="0.2">
      <c r="A434" s="15" t="s">
        <v>995</v>
      </c>
      <c r="B434" s="15">
        <v>17920921</v>
      </c>
      <c r="C434" s="15">
        <v>18040518</v>
      </c>
      <c r="D434" s="15" t="s">
        <v>184</v>
      </c>
      <c r="E434" s="15" t="s">
        <v>2133</v>
      </c>
      <c r="F434" s="19">
        <f>VLOOKUP( $A434, Sovereignty!$A$2:$L$510, 12, 0 )</f>
        <v>0</v>
      </c>
    </row>
    <row r="435" spans="1:6" x14ac:dyDescent="0.2">
      <c r="A435" s="15" t="s">
        <v>995</v>
      </c>
      <c r="B435" s="15">
        <v>8430810</v>
      </c>
      <c r="C435" s="15">
        <v>17920921</v>
      </c>
      <c r="D435" s="15" t="s">
        <v>184</v>
      </c>
      <c r="E435" s="15" t="s">
        <v>2027</v>
      </c>
      <c r="F435" s="19">
        <f>VLOOKUP( $A435, Sovereignty!$A$2:$L$510, 12, 0 )</f>
        <v>0</v>
      </c>
    </row>
    <row r="436" spans="1:6" x14ac:dyDescent="0.2">
      <c r="A436" s="15" t="s">
        <v>2136</v>
      </c>
      <c r="B436" s="15">
        <v>19440910</v>
      </c>
      <c r="C436" s="15">
        <v>20261231</v>
      </c>
      <c r="D436" s="15" t="s">
        <v>92</v>
      </c>
      <c r="E436" s="15" t="s">
        <v>2141</v>
      </c>
      <c r="F436" s="19">
        <f>VLOOKUP( $A436, Sovereignty!$A$2:$L$510, 12, 0 )</f>
        <v>0</v>
      </c>
    </row>
    <row r="437" spans="1:6" x14ac:dyDescent="0.2">
      <c r="A437" s="15" t="s">
        <v>2137</v>
      </c>
      <c r="B437" s="15">
        <v>18150101</v>
      </c>
      <c r="C437" s="15">
        <v>19400510</v>
      </c>
      <c r="D437" s="15" t="s">
        <v>92</v>
      </c>
      <c r="E437" s="15" t="s">
        <v>2141</v>
      </c>
      <c r="F437" s="19">
        <f>VLOOKUP( $A437, Sovereignty!$A$2:$L$510, 12, 0 )</f>
        <v>0</v>
      </c>
    </row>
    <row r="438" spans="1:6" x14ac:dyDescent="0.2">
      <c r="A438" s="15" t="s">
        <v>2138</v>
      </c>
      <c r="B438" s="15">
        <v>13540101</v>
      </c>
      <c r="C438" s="15">
        <v>17970101</v>
      </c>
      <c r="D438" s="15" t="s">
        <v>92</v>
      </c>
      <c r="E438" s="15" t="s">
        <v>2140</v>
      </c>
      <c r="F438" s="19">
        <f>VLOOKUP( $A438, Sovereignty!$A$2:$L$510, 12, 0 )</f>
        <v>0</v>
      </c>
    </row>
    <row r="439" spans="1:6" x14ac:dyDescent="0.2">
      <c r="A439" s="15" t="s">
        <v>997</v>
      </c>
      <c r="B439" s="15">
        <v>18301004</v>
      </c>
      <c r="C439" s="15">
        <v>20261231</v>
      </c>
      <c r="D439" s="15" t="s">
        <v>15</v>
      </c>
      <c r="E439" s="15" t="s">
        <v>2152</v>
      </c>
      <c r="F439" s="19">
        <f>VLOOKUP( $A439, Sovereignty!$A$2:$L$510, 12, 0 )</f>
        <v>0</v>
      </c>
    </row>
    <row r="440" spans="1:6" x14ac:dyDescent="0.2">
      <c r="A440" s="24" t="s">
        <v>2151</v>
      </c>
      <c r="B440" s="15">
        <v>18390419</v>
      </c>
      <c r="C440" s="15">
        <v>20261231</v>
      </c>
      <c r="D440" s="15" t="s">
        <v>112</v>
      </c>
      <c r="E440" s="15" t="s">
        <v>2163</v>
      </c>
      <c r="F440" s="19">
        <f>VLOOKUP( $A440, Sovereignty!$A$2:$L$510, 12, 0 )</f>
        <v>0</v>
      </c>
    </row>
    <row r="441" spans="1:6" x14ac:dyDescent="0.2">
      <c r="A441" s="24" t="s">
        <v>2151</v>
      </c>
      <c r="B441" s="15">
        <v>18150316</v>
      </c>
      <c r="C441" s="15">
        <v>18390419</v>
      </c>
      <c r="D441" s="15" t="s">
        <v>112</v>
      </c>
      <c r="E441" s="15" t="s">
        <v>2162</v>
      </c>
      <c r="F441" s="19">
        <f>VLOOKUP( $A441, Sovereignty!$A$2:$L$510, 12, 0 )</f>
        <v>0</v>
      </c>
    </row>
    <row r="442" spans="1:6" x14ac:dyDescent="0.2">
      <c r="A442" s="24" t="s">
        <v>2153</v>
      </c>
      <c r="B442" s="15">
        <v>18060605</v>
      </c>
      <c r="C442" s="15">
        <v>18100701</v>
      </c>
      <c r="D442" s="15" t="s">
        <v>2160</v>
      </c>
      <c r="E442" s="15" t="s">
        <v>2161</v>
      </c>
      <c r="F442" s="19">
        <f>VLOOKUP( $A442, Sovereignty!$A$2:$L$510, 12, 0 )</f>
        <v>0</v>
      </c>
    </row>
    <row r="443" spans="1:6" x14ac:dyDescent="0.2">
      <c r="A443" s="24" t="s">
        <v>2153</v>
      </c>
      <c r="B443" s="15">
        <v>18010101</v>
      </c>
      <c r="C443" s="15">
        <v>18060605</v>
      </c>
      <c r="D443" s="15" t="s">
        <v>2158</v>
      </c>
      <c r="E443" s="15" t="s">
        <v>2159</v>
      </c>
      <c r="F443" s="19">
        <f>VLOOKUP( $A443, Sovereignty!$A$2:$L$510, 12, 0 )</f>
        <v>0</v>
      </c>
    </row>
    <row r="444" spans="1:6" x14ac:dyDescent="0.2">
      <c r="A444" s="24" t="s">
        <v>2153</v>
      </c>
      <c r="B444" s="15">
        <v>17950119</v>
      </c>
      <c r="C444" s="15">
        <v>18010101</v>
      </c>
      <c r="D444" s="15" t="s">
        <v>2158</v>
      </c>
      <c r="E444" s="15" t="s">
        <v>2158</v>
      </c>
      <c r="F444" s="19">
        <f>VLOOKUP( $A444, Sovereignty!$A$2:$L$510, 12, 0 )</f>
        <v>0</v>
      </c>
    </row>
    <row r="445" spans="1:6" x14ac:dyDescent="0.2">
      <c r="A445" s="24" t="s">
        <v>2153</v>
      </c>
      <c r="B445" s="15">
        <v>15810726</v>
      </c>
      <c r="C445" s="15">
        <v>17950119</v>
      </c>
      <c r="D445" s="15" t="s">
        <v>2154</v>
      </c>
      <c r="E445" s="15" t="s">
        <v>2154</v>
      </c>
      <c r="F445" s="19">
        <f>VLOOKUP( $A445, Sovereignty!$A$2:$L$510, 12, 0 )</f>
        <v>0</v>
      </c>
    </row>
    <row r="446" spans="1:6" x14ac:dyDescent="0.2">
      <c r="A446" s="15" t="s">
        <v>2166</v>
      </c>
      <c r="B446" s="15">
        <v>18641030</v>
      </c>
      <c r="C446" s="15">
        <v>20261231</v>
      </c>
      <c r="D446" s="15" t="s">
        <v>41</v>
      </c>
      <c r="E446" s="15" t="s">
        <v>2169</v>
      </c>
      <c r="F446" s="19">
        <f>VLOOKUP( $A446, Sovereignty!$A$2:$L$510, 12, 0 )</f>
        <v>0</v>
      </c>
    </row>
    <row r="447" spans="1:6" x14ac:dyDescent="0.2">
      <c r="A447" s="15" t="s">
        <v>2166</v>
      </c>
      <c r="B447" s="15">
        <v>18140114</v>
      </c>
      <c r="C447" s="15">
        <v>18641030</v>
      </c>
      <c r="D447" s="15" t="s">
        <v>41</v>
      </c>
      <c r="E447" s="15" t="s">
        <v>2168</v>
      </c>
      <c r="F447" s="19">
        <f>VLOOKUP( $A447, Sovereignty!$A$2:$L$510, 12, 0 )</f>
        <v>0</v>
      </c>
    </row>
    <row r="448" spans="1:6" x14ac:dyDescent="0.2">
      <c r="A448" s="15" t="s">
        <v>2164</v>
      </c>
      <c r="B448" s="15">
        <v>15370101</v>
      </c>
      <c r="C448" s="15">
        <v>18140114</v>
      </c>
      <c r="D448" s="15" t="s">
        <v>2165</v>
      </c>
      <c r="E448" s="15" t="s">
        <v>2165</v>
      </c>
      <c r="F448" s="19">
        <f>VLOOKUP( $A448, Sovereignty!$A$2:$L$510, 12, 0 )</f>
        <v>0</v>
      </c>
    </row>
    <row r="449" spans="1:6" x14ac:dyDescent="0.2">
      <c r="A449" s="15" t="s">
        <v>994</v>
      </c>
      <c r="B449" s="15">
        <v>18710118</v>
      </c>
      <c r="C449" s="15">
        <v>20261231</v>
      </c>
      <c r="D449" s="15" t="s">
        <v>57</v>
      </c>
      <c r="E449" s="15" t="s">
        <v>2177</v>
      </c>
      <c r="F449" s="19">
        <f>VLOOKUP( $A449, Sovereignty!$A$2:$L$510, 12, 0 )</f>
        <v>0</v>
      </c>
    </row>
    <row r="450" spans="1:6" x14ac:dyDescent="0.2">
      <c r="A450" s="15" t="s">
        <v>2172</v>
      </c>
      <c r="B450" s="15">
        <v>17010118</v>
      </c>
      <c r="C450" s="15">
        <v>18710118</v>
      </c>
      <c r="D450" s="15" t="s">
        <v>2171</v>
      </c>
      <c r="E450" s="15" t="s">
        <v>2176</v>
      </c>
      <c r="F450" s="19">
        <f>VLOOKUP( $A450, Sovereignty!$A$2:$L$510, 12, 0 )</f>
        <v>0</v>
      </c>
    </row>
    <row r="451" spans="1:6" x14ac:dyDescent="0.2">
      <c r="A451" s="15" t="s">
        <v>2178</v>
      </c>
      <c r="B451" s="15">
        <v>18060801</v>
      </c>
      <c r="C451" s="15">
        <v>18710118</v>
      </c>
      <c r="D451" s="15" t="s">
        <v>2179</v>
      </c>
      <c r="E451" s="15" t="s">
        <v>2182</v>
      </c>
      <c r="F451" s="19">
        <f>VLOOKUP( $A451, Sovereignty!$A$2:$L$510, 12, 0 )</f>
        <v>0</v>
      </c>
    </row>
    <row r="452" spans="1:6" x14ac:dyDescent="0.2">
      <c r="A452" s="15" t="s">
        <v>2183</v>
      </c>
      <c r="B452" s="15">
        <v>18061211</v>
      </c>
      <c r="C452" s="15">
        <v>18710118</v>
      </c>
      <c r="D452" s="15" t="s">
        <v>2184</v>
      </c>
      <c r="E452" s="15" t="s">
        <v>2187</v>
      </c>
      <c r="F452" s="19">
        <f>VLOOKUP( $A452, Sovereignty!$A$2:$L$510, 12, 0 )</f>
        <v>0</v>
      </c>
    </row>
    <row r="453" spans="1:6" x14ac:dyDescent="0.2">
      <c r="A453" s="15" t="s">
        <v>2188</v>
      </c>
      <c r="B453" s="15">
        <v>18141012</v>
      </c>
      <c r="C453" s="15">
        <v>18660920</v>
      </c>
      <c r="D453" s="15" t="s">
        <v>2189</v>
      </c>
      <c r="E453" s="15" t="s">
        <v>2191</v>
      </c>
      <c r="F453" s="19">
        <f>VLOOKUP( $A453, Sovereignty!$A$2:$L$510, 12, 0 )</f>
        <v>0</v>
      </c>
    </row>
    <row r="454" spans="1:6" x14ac:dyDescent="0.2">
      <c r="A454" s="15" t="s">
        <v>2194</v>
      </c>
      <c r="B454" s="15">
        <v>18061226</v>
      </c>
      <c r="C454" s="15">
        <v>18710118</v>
      </c>
      <c r="D454" s="15" t="s">
        <v>2192</v>
      </c>
      <c r="E454" s="15" t="s">
        <v>2193</v>
      </c>
      <c r="F454" s="19">
        <f>VLOOKUP( $A454, Sovereignty!$A$2:$L$510, 12, 0 )</f>
        <v>0</v>
      </c>
    </row>
    <row r="455" spans="1:6" x14ac:dyDescent="0.2">
      <c r="A455" s="15" t="s">
        <v>2197</v>
      </c>
      <c r="B455" s="15">
        <v>18061024</v>
      </c>
      <c r="C455" s="15">
        <v>18710118</v>
      </c>
      <c r="D455" s="15" t="s">
        <v>2198</v>
      </c>
      <c r="E455" s="15" t="s">
        <v>2202</v>
      </c>
      <c r="F455" s="19">
        <f>VLOOKUP( $A455, Sovereignty!$A$2:$L$510, 12, 0 )</f>
        <v>0</v>
      </c>
    </row>
    <row r="456" spans="1:6" x14ac:dyDescent="0.2">
      <c r="A456" s="15" t="s">
        <v>2203</v>
      </c>
      <c r="B456" s="15">
        <v>18150608</v>
      </c>
      <c r="C456" s="15">
        <v>18710118</v>
      </c>
      <c r="D456" s="15" t="s">
        <v>2199</v>
      </c>
      <c r="E456" s="15" t="s">
        <v>2207</v>
      </c>
      <c r="F456" s="19">
        <f>VLOOKUP( $A456, Sovereignty!$A$2:$L$510, 12, 0 )</f>
        <v>0</v>
      </c>
    </row>
    <row r="457" spans="1:6" x14ac:dyDescent="0.2">
      <c r="A457" s="15" t="s">
        <v>2211</v>
      </c>
      <c r="B457" s="15">
        <v>19490523</v>
      </c>
      <c r="C457" s="15">
        <v>19901003</v>
      </c>
      <c r="D457" s="15" t="s">
        <v>2209</v>
      </c>
      <c r="E457" s="15" t="s">
        <v>2177</v>
      </c>
      <c r="F457" s="19">
        <f>VLOOKUP( $A457, Sovereignty!$A$2:$L$510, 12, 0 )</f>
        <v>0</v>
      </c>
    </row>
    <row r="458" spans="1:6" x14ac:dyDescent="0.2">
      <c r="A458" s="15" t="s">
        <v>2212</v>
      </c>
      <c r="B458" s="15">
        <v>19490523</v>
      </c>
      <c r="C458" s="15">
        <v>19901003</v>
      </c>
      <c r="D458" s="15" t="s">
        <v>2210</v>
      </c>
      <c r="E458" s="15" t="s">
        <v>2216</v>
      </c>
      <c r="F458" s="19">
        <f>VLOOKUP( $A458, Sovereignty!$A$2:$L$510, 12, 0 )</f>
        <v>0</v>
      </c>
    </row>
    <row r="459" spans="1:6" x14ac:dyDescent="0.2">
      <c r="A459" s="15" t="s">
        <v>2208</v>
      </c>
      <c r="B459" s="15">
        <v>19901003</v>
      </c>
      <c r="C459" s="15">
        <v>20261231</v>
      </c>
      <c r="D459" s="15" t="s">
        <v>57</v>
      </c>
      <c r="E459" s="15" t="s">
        <v>2177</v>
      </c>
      <c r="F459" s="19">
        <f>VLOOKUP( $A459, Sovereignty!$A$2:$L$510, 12, 0 )</f>
        <v>0</v>
      </c>
    </row>
    <row r="460" spans="1:6" x14ac:dyDescent="0.2">
      <c r="A460" s="15" t="s">
        <v>2217</v>
      </c>
      <c r="B460" s="15">
        <v>19450508</v>
      </c>
      <c r="C460" s="15">
        <v>19490523</v>
      </c>
      <c r="D460" s="15" t="s">
        <v>2221</v>
      </c>
      <c r="E460" s="15" t="s">
        <v>2227</v>
      </c>
      <c r="F460" s="19">
        <f>VLOOKUP( $A460, Sovereignty!$A$2:$L$510, 12, 0 )</f>
        <v>0</v>
      </c>
    </row>
    <row r="461" spans="1:6" x14ac:dyDescent="0.2">
      <c r="A461" s="15" t="s">
        <v>2218</v>
      </c>
      <c r="B461" s="15">
        <v>19450508</v>
      </c>
      <c r="C461" s="15">
        <v>19490523</v>
      </c>
      <c r="D461" s="15" t="s">
        <v>2222</v>
      </c>
      <c r="E461" s="15" t="s">
        <v>2227</v>
      </c>
      <c r="F461" s="19">
        <f>VLOOKUP( $A461, Sovereignty!$A$2:$L$510, 12, 0 )</f>
        <v>0</v>
      </c>
    </row>
    <row r="462" spans="1:6" x14ac:dyDescent="0.2">
      <c r="A462" s="15" t="s">
        <v>2220</v>
      </c>
      <c r="B462" s="15">
        <v>19450508</v>
      </c>
      <c r="C462" s="15">
        <v>19490523</v>
      </c>
      <c r="D462" s="15" t="s">
        <v>2223</v>
      </c>
      <c r="E462" s="15" t="s">
        <v>2227</v>
      </c>
      <c r="F462" s="19">
        <f>VLOOKUP( $A462, Sovereignty!$A$2:$L$510, 12, 0 )</f>
        <v>0</v>
      </c>
    </row>
    <row r="463" spans="1:6" x14ac:dyDescent="0.2">
      <c r="A463" s="15" t="s">
        <v>2219</v>
      </c>
      <c r="B463" s="15">
        <v>19450508</v>
      </c>
      <c r="C463" s="15">
        <v>19490523</v>
      </c>
      <c r="D463" s="15" t="s">
        <v>2224</v>
      </c>
      <c r="E463" s="15" t="s">
        <v>2227</v>
      </c>
      <c r="F463" s="19">
        <f>VLOOKUP( $A463, Sovereignty!$A$2:$L$510, 12, 0 )</f>
        <v>0</v>
      </c>
    </row>
    <row r="464" spans="1:6" x14ac:dyDescent="0.2">
      <c r="A464" s="15" t="s">
        <v>984</v>
      </c>
      <c r="B464" s="15">
        <v>19171206</v>
      </c>
      <c r="C464" s="15">
        <v>20261231</v>
      </c>
      <c r="D464" s="15" t="s">
        <v>55</v>
      </c>
      <c r="E464" s="15" t="s">
        <v>2237</v>
      </c>
      <c r="F464" s="19">
        <f>VLOOKUP( $A464, Sovereignty!$A$2:$L$510, 12, 0 )</f>
        <v>0</v>
      </c>
    </row>
    <row r="465" spans="1:6" x14ac:dyDescent="0.2">
      <c r="A465" s="15" t="s">
        <v>2232</v>
      </c>
      <c r="B465" s="15">
        <v>18090917</v>
      </c>
      <c r="C465" s="15">
        <v>19171206</v>
      </c>
      <c r="D465" s="15" t="s">
        <v>55</v>
      </c>
      <c r="E465" s="15" t="s">
        <v>2236</v>
      </c>
      <c r="F465" s="19">
        <f>VLOOKUP( $A465, Sovereignty!$A$2:$L$510, 12, 0 )</f>
        <v>0</v>
      </c>
    </row>
    <row r="466" spans="1:6" x14ac:dyDescent="0.2">
      <c r="A466" s="15" t="s">
        <v>986</v>
      </c>
      <c r="B466" s="15">
        <v>15230101</v>
      </c>
      <c r="C466" s="15">
        <v>20261231</v>
      </c>
      <c r="D466" s="15" t="s">
        <v>156</v>
      </c>
      <c r="E466" s="15" t="s">
        <v>2239</v>
      </c>
      <c r="F466" s="19">
        <f>VLOOKUP( $A466, Sovereignty!$A$2:$L$510, 12, 0 )</f>
        <v>0</v>
      </c>
    </row>
    <row r="467" spans="1:6" x14ac:dyDescent="0.2">
      <c r="A467" s="15" t="s">
        <v>2243</v>
      </c>
      <c r="B467" s="15">
        <v>18140114</v>
      </c>
      <c r="C467" s="15">
        <v>20261231</v>
      </c>
      <c r="D467" s="15" t="s">
        <v>186</v>
      </c>
      <c r="E467" s="15" t="s">
        <v>2242</v>
      </c>
      <c r="F467" s="19">
        <f>VLOOKUP( $A467, Sovereignty!$A$2:$L$510, 12, 0 )</f>
        <v>0</v>
      </c>
    </row>
    <row r="468" spans="1:6" x14ac:dyDescent="0.2">
      <c r="A468" s="15" t="s">
        <v>2244</v>
      </c>
      <c r="B468" s="15">
        <v>19200209</v>
      </c>
      <c r="C468" s="15">
        <v>20261231</v>
      </c>
      <c r="D468" s="15" t="s">
        <v>769</v>
      </c>
      <c r="E468" s="15" t="s">
        <v>769</v>
      </c>
      <c r="F468" s="19">
        <f>VLOOKUP( $A468, Sovereignty!$A$2:$L$510, 12, 0 )</f>
        <v>0</v>
      </c>
    </row>
    <row r="469" spans="1:6" x14ac:dyDescent="0.2">
      <c r="A469" s="15" t="s">
        <v>2254</v>
      </c>
      <c r="B469" s="15">
        <v>19270101</v>
      </c>
      <c r="C469" s="15">
        <v>20261231</v>
      </c>
      <c r="D469" s="15" t="s">
        <v>173</v>
      </c>
      <c r="E469" s="15" t="s">
        <v>2261</v>
      </c>
      <c r="F469" s="19">
        <f>VLOOKUP( $A469, Sovereignty!$A$2:$L$510, 12, 0 )</f>
        <v>0</v>
      </c>
    </row>
    <row r="470" spans="1:6" x14ac:dyDescent="0.2">
      <c r="A470" s="15" t="s">
        <v>2254</v>
      </c>
      <c r="B470" s="15">
        <v>19221206</v>
      </c>
      <c r="C470" s="15">
        <v>19270101</v>
      </c>
      <c r="D470" s="15" t="s">
        <v>173</v>
      </c>
      <c r="E470" s="15" t="s">
        <v>2259</v>
      </c>
      <c r="F470" s="19">
        <f>VLOOKUP( $A470, Sovereignty!$A$2:$L$510, 12, 0 )</f>
        <v>0</v>
      </c>
    </row>
    <row r="471" spans="1:6" x14ac:dyDescent="0.2">
      <c r="A471" s="15" t="s">
        <v>982</v>
      </c>
      <c r="B471" s="15">
        <v>18010101</v>
      </c>
      <c r="C471" s="15">
        <v>19221206</v>
      </c>
      <c r="D471" s="15" t="s">
        <v>173</v>
      </c>
      <c r="E471" s="15" t="s">
        <v>2259</v>
      </c>
      <c r="F471" s="19">
        <f>VLOOKUP( $A471, Sovereignty!$A$2:$L$510, 12, 0 )</f>
        <v>0</v>
      </c>
    </row>
    <row r="472" spans="1:6" x14ac:dyDescent="0.2">
      <c r="A472" s="15" t="s">
        <v>2253</v>
      </c>
      <c r="B472" s="15">
        <v>17070501</v>
      </c>
      <c r="C472" s="15">
        <v>18010101</v>
      </c>
      <c r="D472" s="15" t="s">
        <v>173</v>
      </c>
      <c r="E472" s="15" t="s">
        <v>2260</v>
      </c>
      <c r="F472" s="19">
        <f>VLOOKUP( $A472, Sovereignty!$A$2:$L$510, 12, 0 )</f>
        <v>0</v>
      </c>
    </row>
    <row r="473" spans="1:6" x14ac:dyDescent="0.2">
      <c r="A473" s="15" t="s">
        <v>2111</v>
      </c>
      <c r="B473" s="15">
        <v>18140114</v>
      </c>
      <c r="C473" s="15">
        <v>20261231</v>
      </c>
      <c r="D473" s="15" t="s">
        <v>770</v>
      </c>
      <c r="E473" s="15" t="s">
        <v>770</v>
      </c>
      <c r="F473" s="19">
        <f>VLOOKUP( $A473, Sovereignty!$A$2:$L$510, 12, 0 )</f>
        <v>0</v>
      </c>
    </row>
    <row r="474" spans="1:6" x14ac:dyDescent="0.2">
      <c r="A474" s="15" t="s">
        <v>2246</v>
      </c>
      <c r="B474" s="15">
        <v>19490418</v>
      </c>
      <c r="C474" s="15">
        <v>20261231</v>
      </c>
      <c r="D474" s="15" t="s">
        <v>73</v>
      </c>
      <c r="E474" s="15" t="s">
        <v>2251</v>
      </c>
      <c r="F474" s="19">
        <f>VLOOKUP( $A474, Sovereignty!$A$2:$L$510, 12, 0 )</f>
        <v>0</v>
      </c>
    </row>
    <row r="475" spans="1:6" x14ac:dyDescent="0.2">
      <c r="A475" s="15" t="s">
        <v>2374</v>
      </c>
      <c r="B475" s="15">
        <v>19371229</v>
      </c>
      <c r="C475" s="15">
        <v>19490418</v>
      </c>
      <c r="D475" s="15" t="s">
        <v>73</v>
      </c>
      <c r="E475" s="15" t="s">
        <v>73</v>
      </c>
      <c r="F475" s="19">
        <f>VLOOKUP( $A475, Sovereignty!$A$2:$L$510, 12, 0 )</f>
        <v>0</v>
      </c>
    </row>
    <row r="476" spans="1:6" x14ac:dyDescent="0.2">
      <c r="A476" s="15" t="s">
        <v>2374</v>
      </c>
      <c r="B476" s="15">
        <v>19221206</v>
      </c>
      <c r="C476" s="15">
        <v>19371229</v>
      </c>
      <c r="D476" s="15" t="s">
        <v>73</v>
      </c>
      <c r="E476" s="15" t="s">
        <v>2252</v>
      </c>
      <c r="F476" s="19">
        <f>VLOOKUP( $A476, Sovereignty!$A$2:$L$510, 12, 0 )</f>
        <v>0</v>
      </c>
    </row>
    <row r="477" spans="1:6" x14ac:dyDescent="0.2">
      <c r="A477" s="15" t="s">
        <v>2374</v>
      </c>
      <c r="B477" s="15">
        <v>15410101</v>
      </c>
      <c r="C477" s="15">
        <v>18010101</v>
      </c>
      <c r="D477" s="15" t="s">
        <v>73</v>
      </c>
      <c r="E477" s="15" t="s">
        <v>2250</v>
      </c>
      <c r="F477" s="19">
        <f>VLOOKUP( $A477, Sovereignty!$A$2:$L$510, 12, 0 )</f>
        <v>0</v>
      </c>
    </row>
    <row r="478" spans="1:6" x14ac:dyDescent="0.2">
      <c r="A478" s="15" t="s">
        <v>2262</v>
      </c>
      <c r="B478" s="15">
        <v>19181201</v>
      </c>
      <c r="C478" s="15">
        <v>20261231</v>
      </c>
      <c r="D478" s="15" t="s">
        <v>68</v>
      </c>
      <c r="E478" s="15" t="s">
        <v>68</v>
      </c>
      <c r="F478" s="19">
        <f>VLOOKUP( $A478, Sovereignty!$A$2:$L$510, 12, 0 )</f>
        <v>0</v>
      </c>
    </row>
    <row r="479" spans="1:6" x14ac:dyDescent="0.2">
      <c r="A479" s="15" t="s">
        <v>2263</v>
      </c>
      <c r="B479" s="15">
        <v>18140114</v>
      </c>
      <c r="C479" s="15">
        <v>19181201</v>
      </c>
      <c r="D479" s="15" t="s">
        <v>68</v>
      </c>
      <c r="E479" s="15" t="s">
        <v>68</v>
      </c>
      <c r="F479" s="19">
        <f>VLOOKUP( $A479, Sovereignty!$A$2:$L$510, 12, 0 )</f>
        <v>0</v>
      </c>
    </row>
    <row r="480" spans="1:6" x14ac:dyDescent="0.2">
      <c r="A480" s="15" t="s">
        <v>2030</v>
      </c>
      <c r="B480" s="15">
        <v>19730710</v>
      </c>
      <c r="C480" s="15">
        <v>20261231</v>
      </c>
      <c r="D480" s="15" t="s">
        <v>269</v>
      </c>
      <c r="E480" s="15" t="s">
        <v>682</v>
      </c>
      <c r="F480" s="19">
        <f>VLOOKUP( $A480, Sovereignty!$A$2:$L$510, 12, 0 )</f>
        <v>0</v>
      </c>
    </row>
    <row r="481" spans="1:6" x14ac:dyDescent="0.2">
      <c r="A481" s="15" t="s">
        <v>2029</v>
      </c>
      <c r="B481" s="15">
        <v>17180101</v>
      </c>
      <c r="C481" s="15">
        <v>19730710</v>
      </c>
      <c r="D481" s="15" t="s">
        <v>686</v>
      </c>
      <c r="E481" s="15" t="s">
        <v>685</v>
      </c>
      <c r="F481" s="19">
        <f>VLOOKUP( $A481, Sovereignty!$A$2:$L$510, 12, 0 )</f>
        <v>0</v>
      </c>
    </row>
    <row r="482" spans="1:6" x14ac:dyDescent="0.2">
      <c r="A482" s="15" t="s">
        <v>1000</v>
      </c>
      <c r="B482" s="15">
        <v>19661130</v>
      </c>
      <c r="C482" s="15">
        <v>20261231</v>
      </c>
      <c r="D482" s="15" t="s">
        <v>13</v>
      </c>
      <c r="E482" s="15" t="s">
        <v>13</v>
      </c>
      <c r="F482" s="19">
        <f>VLOOKUP( $A482, Sovereignty!$A$2:$L$510, 12, 0 )</f>
        <v>0</v>
      </c>
    </row>
    <row r="483" spans="1:6" x14ac:dyDescent="0.2">
      <c r="A483" s="15" t="s">
        <v>2033</v>
      </c>
      <c r="B483" s="15">
        <v>16270217</v>
      </c>
      <c r="C483" s="15">
        <v>19661130</v>
      </c>
      <c r="D483" s="15" t="s">
        <v>13</v>
      </c>
      <c r="E483" s="15" t="s">
        <v>2034</v>
      </c>
      <c r="F483" s="19">
        <f>VLOOKUP( $A483, Sovereignty!$A$2:$L$510, 12, 0 )</f>
        <v>0</v>
      </c>
    </row>
    <row r="484" spans="1:6" x14ac:dyDescent="0.2">
      <c r="A484" s="15" t="s">
        <v>853</v>
      </c>
      <c r="B484" s="15">
        <v>19860101</v>
      </c>
      <c r="C484" s="15">
        <v>20261231</v>
      </c>
      <c r="D484" s="15" t="s">
        <v>762</v>
      </c>
      <c r="E484" s="15" t="s">
        <v>851</v>
      </c>
      <c r="F484" s="19">
        <f>VLOOKUP( $A484, Sovereignty!$A$2:$L$510, 12, 0 )</f>
        <v>0</v>
      </c>
    </row>
    <row r="485" spans="1:6" x14ac:dyDescent="0.2">
      <c r="A485" s="15" t="s">
        <v>862</v>
      </c>
      <c r="B485" s="15">
        <v>20101010</v>
      </c>
      <c r="C485" s="15">
        <v>20261231</v>
      </c>
      <c r="D485" s="15" t="s">
        <v>776</v>
      </c>
      <c r="E485" s="15" t="s">
        <v>776</v>
      </c>
      <c r="F485" s="19">
        <f>VLOOKUP( $A485, Sovereignty!$A$2:$L$510, 12, 0 )</f>
        <v>0</v>
      </c>
    </row>
    <row r="486" spans="1:6" x14ac:dyDescent="0.2">
      <c r="A486" s="15" t="s">
        <v>861</v>
      </c>
      <c r="B486" s="15">
        <v>20101010</v>
      </c>
      <c r="C486" s="15">
        <v>20261231</v>
      </c>
      <c r="D486" s="15" t="s">
        <v>763</v>
      </c>
      <c r="E486" s="15" t="s">
        <v>860</v>
      </c>
      <c r="F486" s="19">
        <f>VLOOKUP( $A486, Sovereignty!$A$2:$L$510, 12, 0 )</f>
        <v>0</v>
      </c>
    </row>
    <row r="487" spans="1:6" x14ac:dyDescent="0.2">
      <c r="A487" s="15" t="s">
        <v>1016</v>
      </c>
      <c r="B487" s="15">
        <v>19620831</v>
      </c>
      <c r="C487" s="15">
        <v>20261231</v>
      </c>
      <c r="D487" s="15" t="s">
        <v>165</v>
      </c>
      <c r="E487" s="15" t="s">
        <v>2040</v>
      </c>
      <c r="F487" s="19">
        <f>VLOOKUP( $A487, Sovereignty!$A$2:$L$510, 12, 0 )</f>
        <v>0</v>
      </c>
    </row>
    <row r="488" spans="1:6" x14ac:dyDescent="0.2">
      <c r="A488" s="15" t="s">
        <v>2041</v>
      </c>
      <c r="B488" s="15">
        <v>18140530</v>
      </c>
      <c r="C488" s="15">
        <v>19620831</v>
      </c>
      <c r="D488" s="15" t="s">
        <v>165</v>
      </c>
      <c r="E488" s="15" t="s">
        <v>2043</v>
      </c>
      <c r="F488" s="19">
        <f>VLOOKUP( $A488, Sovereignty!$A$2:$L$510, 12, 0 )</f>
        <v>0</v>
      </c>
    </row>
    <row r="489" spans="1:6" x14ac:dyDescent="0.2">
      <c r="A489" s="15" t="s">
        <v>1002</v>
      </c>
      <c r="B489" s="15">
        <v>19740207</v>
      </c>
      <c r="C489" s="15">
        <v>20261231</v>
      </c>
      <c r="D489" s="15" t="s">
        <v>60</v>
      </c>
      <c r="E489" s="15" t="s">
        <v>60</v>
      </c>
      <c r="F489" s="19">
        <f>VLOOKUP( $A489, Sovereignty!$A$2:$L$510, 12, 0 )</f>
        <v>0</v>
      </c>
    </row>
    <row r="490" spans="1:6" x14ac:dyDescent="0.2">
      <c r="A490" s="15" t="s">
        <v>2047</v>
      </c>
      <c r="B490" s="15">
        <v>17830903</v>
      </c>
      <c r="C490" s="15">
        <v>19740207</v>
      </c>
      <c r="D490" s="15" t="s">
        <v>60</v>
      </c>
      <c r="E490" s="15" t="s">
        <v>60</v>
      </c>
      <c r="F490" s="19">
        <f>VLOOKUP( $A490, Sovereignty!$A$2:$L$510, 12, 0 )</f>
        <v>0</v>
      </c>
    </row>
    <row r="491" spans="1:6" x14ac:dyDescent="0.2">
      <c r="A491" s="15" t="s">
        <v>2046</v>
      </c>
      <c r="B491" s="15">
        <v>17790701</v>
      </c>
      <c r="C491" s="15">
        <v>17830903</v>
      </c>
      <c r="D491" s="15" t="s">
        <v>60</v>
      </c>
      <c r="E491" s="15" t="s">
        <v>60</v>
      </c>
      <c r="F491" s="19">
        <f>VLOOKUP( $A491, Sovereignty!$A$2:$L$510, 12, 0 )</f>
        <v>0</v>
      </c>
    </row>
    <row r="492" spans="1:6" x14ac:dyDescent="0.2">
      <c r="A492" s="15" t="s">
        <v>2049</v>
      </c>
      <c r="B492" s="15">
        <v>17630210</v>
      </c>
      <c r="C492" s="15">
        <v>17790701</v>
      </c>
      <c r="D492" s="15" t="s">
        <v>60</v>
      </c>
      <c r="E492" s="15" t="s">
        <v>60</v>
      </c>
      <c r="F492" s="19">
        <f>VLOOKUP( $A492, Sovereignty!$A$2:$L$510, 12, 0 )</f>
        <v>0</v>
      </c>
    </row>
    <row r="493" spans="1:6" x14ac:dyDescent="0.2">
      <c r="A493" s="15" t="s">
        <v>2045</v>
      </c>
      <c r="B493" s="15">
        <v>16490101</v>
      </c>
      <c r="C493" s="15">
        <v>17630210</v>
      </c>
      <c r="D493" s="15" t="s">
        <v>2048</v>
      </c>
      <c r="E493" s="15" t="s">
        <v>60</v>
      </c>
      <c r="F493" s="19">
        <f>VLOOKUP( $A493, Sovereignty!$A$2:$L$510, 12, 0 )</f>
        <v>0</v>
      </c>
    </row>
    <row r="494" spans="1:6" x14ac:dyDescent="0.2">
      <c r="A494" s="15" t="s">
        <v>1009</v>
      </c>
      <c r="B494" s="15">
        <v>19791027</v>
      </c>
      <c r="C494" s="15">
        <v>20261231</v>
      </c>
      <c r="D494" s="15" t="s">
        <v>136</v>
      </c>
      <c r="E494" s="15" t="s">
        <v>136</v>
      </c>
      <c r="F494" s="19">
        <f>VLOOKUP( $A494, Sovereignty!$A$2:$L$510, 12, 0 )</f>
        <v>0</v>
      </c>
    </row>
    <row r="495" spans="1:6" x14ac:dyDescent="0.2">
      <c r="A495" s="15" t="s">
        <v>2053</v>
      </c>
      <c r="B495" s="15">
        <v>17830903</v>
      </c>
      <c r="C495" s="15">
        <v>19791027</v>
      </c>
      <c r="D495" s="15" t="s">
        <v>136</v>
      </c>
      <c r="E495" s="15" t="s">
        <v>136</v>
      </c>
      <c r="F495" s="19">
        <f>VLOOKUP( $A495, Sovereignty!$A$2:$L$510, 12, 0 )</f>
        <v>0</v>
      </c>
    </row>
    <row r="496" spans="1:6" x14ac:dyDescent="0.2">
      <c r="A496" s="15" t="s">
        <v>2052</v>
      </c>
      <c r="B496" s="15">
        <v>17790701</v>
      </c>
      <c r="C496" s="15">
        <v>17830903</v>
      </c>
      <c r="D496" s="15" t="s">
        <v>136</v>
      </c>
      <c r="E496" s="15" t="s">
        <v>136</v>
      </c>
      <c r="F496" s="19">
        <f>VLOOKUP( $A496, Sovereignty!$A$2:$L$510, 12, 0 )</f>
        <v>0</v>
      </c>
    </row>
    <row r="497" spans="1:6" x14ac:dyDescent="0.2">
      <c r="A497" s="15" t="s">
        <v>2051</v>
      </c>
      <c r="B497" s="15">
        <v>17630210</v>
      </c>
      <c r="C497" s="15">
        <v>17790701</v>
      </c>
      <c r="D497" s="15" t="s">
        <v>136</v>
      </c>
      <c r="E497" s="15" t="s">
        <v>136</v>
      </c>
      <c r="F497" s="19">
        <f>VLOOKUP( $A497, Sovereignty!$A$2:$L$510, 12, 0 )</f>
        <v>0</v>
      </c>
    </row>
    <row r="498" spans="1:6" x14ac:dyDescent="0.2">
      <c r="A498" s="15" t="s">
        <v>2050</v>
      </c>
      <c r="B498" s="15">
        <v>17190101</v>
      </c>
      <c r="C498" s="15">
        <v>17630210</v>
      </c>
      <c r="D498" s="15" t="s">
        <v>136</v>
      </c>
      <c r="E498" s="15" t="s">
        <v>136</v>
      </c>
      <c r="F498" s="19">
        <f>VLOOKUP( $A498, Sovereignty!$A$2:$L$510, 12, 0 )</f>
        <v>0</v>
      </c>
    </row>
    <row r="499" spans="1:6" x14ac:dyDescent="0.2">
      <c r="A499" s="15" t="s">
        <v>866</v>
      </c>
      <c r="B499" s="15">
        <v>20101010</v>
      </c>
      <c r="C499" s="15">
        <v>20261231</v>
      </c>
      <c r="D499" s="15" t="s">
        <v>764</v>
      </c>
      <c r="E499" s="15" t="s">
        <v>864</v>
      </c>
      <c r="F499" s="19">
        <f>VLOOKUP( $A499, Sovereignty!$A$2:$L$510, 12, 0 )</f>
        <v>0</v>
      </c>
    </row>
    <row r="500" spans="1:6" x14ac:dyDescent="0.2">
      <c r="A500" s="15" t="s">
        <v>856</v>
      </c>
      <c r="B500" s="15">
        <v>19541210</v>
      </c>
      <c r="C500" s="15">
        <v>20101010</v>
      </c>
      <c r="D500" s="15" t="s">
        <v>854</v>
      </c>
      <c r="E500" s="15" t="s">
        <v>854</v>
      </c>
      <c r="F500" s="19">
        <f>VLOOKUP( $A500, Sovereignty!$A$2:$L$510, 12, 0 )</f>
        <v>0</v>
      </c>
    </row>
    <row r="501" spans="1:6" x14ac:dyDescent="0.2">
      <c r="A501" s="15" t="s">
        <v>859</v>
      </c>
      <c r="B501" s="15">
        <v>16340101</v>
      </c>
      <c r="C501" s="15">
        <v>19541210</v>
      </c>
      <c r="D501" s="15" t="s">
        <v>857</v>
      </c>
      <c r="E501" s="15" t="s">
        <v>858</v>
      </c>
      <c r="F501" s="19">
        <f>VLOOKUP( $A501, Sovereignty!$A$2:$L$510, 12, 0 )</f>
        <v>0</v>
      </c>
    </row>
    <row r="502" spans="1:6" x14ac:dyDescent="0.2">
      <c r="A502" s="15" t="s">
        <v>1010</v>
      </c>
      <c r="B502" s="15">
        <v>19790222</v>
      </c>
      <c r="C502" s="15">
        <v>20261231</v>
      </c>
      <c r="D502" s="15" t="s">
        <v>135</v>
      </c>
      <c r="E502" s="15" t="s">
        <v>135</v>
      </c>
      <c r="F502" s="19">
        <f>VLOOKUP( $A502, Sovereignty!$A$2:$L$510, 12, 0 )</f>
        <v>0</v>
      </c>
    </row>
    <row r="503" spans="1:6" x14ac:dyDescent="0.2">
      <c r="A503" s="15" t="s">
        <v>2058</v>
      </c>
      <c r="B503" s="15">
        <v>18030101</v>
      </c>
      <c r="C503" s="15">
        <v>19790222</v>
      </c>
      <c r="D503" s="15" t="s">
        <v>135</v>
      </c>
      <c r="E503" s="15" t="s">
        <v>135</v>
      </c>
      <c r="F503" s="19">
        <f>VLOOKUP( $A503, Sovereignty!$A$2:$L$510, 12, 0 )</f>
        <v>0</v>
      </c>
    </row>
    <row r="504" spans="1:6" x14ac:dyDescent="0.2">
      <c r="A504" s="15" t="s">
        <v>2057</v>
      </c>
      <c r="B504" s="15">
        <v>17830903</v>
      </c>
      <c r="C504" s="15">
        <v>18030101</v>
      </c>
      <c r="D504" s="15" t="s">
        <v>135</v>
      </c>
      <c r="E504" s="15" t="s">
        <v>135</v>
      </c>
      <c r="F504" s="19">
        <f>VLOOKUP( $A504, Sovereignty!$A$2:$L$510, 12, 0 )</f>
        <v>0</v>
      </c>
    </row>
    <row r="505" spans="1:6" x14ac:dyDescent="0.2">
      <c r="A505" s="15" t="s">
        <v>2056</v>
      </c>
      <c r="B505" s="15">
        <v>17630210</v>
      </c>
      <c r="C505" s="15">
        <v>17830903</v>
      </c>
      <c r="D505" s="15" t="s">
        <v>135</v>
      </c>
      <c r="E505" s="15" t="s">
        <v>135</v>
      </c>
      <c r="F505" s="19">
        <f>VLOOKUP( $A505, Sovereignty!$A$2:$L$510, 12, 0 )</f>
        <v>0</v>
      </c>
    </row>
    <row r="506" spans="1:6" x14ac:dyDescent="0.2">
      <c r="A506" s="15" t="s">
        <v>2055</v>
      </c>
      <c r="B506" s="15">
        <v>16740101</v>
      </c>
      <c r="C506" s="15">
        <v>17630210</v>
      </c>
      <c r="D506" s="15" t="s">
        <v>135</v>
      </c>
      <c r="E506" s="15" t="s">
        <v>135</v>
      </c>
      <c r="F506" s="19">
        <f>VLOOKUP( $A506, Sovereignty!$A$2:$L$510, 12, 0 )</f>
        <v>0</v>
      </c>
    </row>
    <row r="507" spans="1:6" x14ac:dyDescent="0.2">
      <c r="A507" s="15" t="s">
        <v>2376</v>
      </c>
      <c r="B507" s="15">
        <v>19460101</v>
      </c>
      <c r="C507" s="15">
        <v>20261231</v>
      </c>
      <c r="D507" s="15" t="s">
        <v>760</v>
      </c>
      <c r="E507" s="15" t="s">
        <v>760</v>
      </c>
      <c r="F507" s="19">
        <f>VLOOKUP( $A507, Sovereignty!$A$2:$L$510, 12, 0 )</f>
        <v>0</v>
      </c>
    </row>
    <row r="508" spans="1:6" x14ac:dyDescent="0.2">
      <c r="A508" s="15" t="s">
        <v>2376</v>
      </c>
      <c r="B508" s="15">
        <v>16480101</v>
      </c>
      <c r="C508" s="15">
        <v>19460101</v>
      </c>
      <c r="D508" s="15" t="s">
        <v>760</v>
      </c>
      <c r="E508" s="15" t="s">
        <v>844</v>
      </c>
      <c r="F508" s="19">
        <f>VLOOKUP( $A508, Sovereignty!$A$2:$L$510, 12, 0 )</f>
        <v>0</v>
      </c>
    </row>
    <row r="509" spans="1:6" x14ac:dyDescent="0.2">
      <c r="A509" s="15" t="s">
        <v>1004</v>
      </c>
      <c r="B509" s="15">
        <v>19781103</v>
      </c>
      <c r="C509" s="15">
        <v>20261231</v>
      </c>
      <c r="D509" s="15" t="s">
        <v>43</v>
      </c>
      <c r="E509" s="15" t="s">
        <v>2064</v>
      </c>
      <c r="F509" s="19">
        <f>VLOOKUP( $A509, Sovereignty!$A$2:$L$510, 12, 0 )</f>
        <v>0</v>
      </c>
    </row>
    <row r="510" spans="1:6" x14ac:dyDescent="0.2">
      <c r="A510" s="15" t="s">
        <v>2062</v>
      </c>
      <c r="B510" s="15">
        <v>17630210</v>
      </c>
      <c r="C510" s="15">
        <v>19781103</v>
      </c>
      <c r="D510" s="15" t="s">
        <v>43</v>
      </c>
      <c r="E510" s="15" t="s">
        <v>43</v>
      </c>
      <c r="F510" s="19">
        <f>VLOOKUP( $A510, Sovereignty!$A$2:$L$510, 12, 0 )</f>
        <v>0</v>
      </c>
    </row>
    <row r="511" spans="1:6" x14ac:dyDescent="0.2">
      <c r="A511" s="15" t="s">
        <v>2061</v>
      </c>
      <c r="B511" s="15">
        <v>16350101</v>
      </c>
      <c r="C511" s="15">
        <v>17630210</v>
      </c>
      <c r="D511" s="15" t="s">
        <v>43</v>
      </c>
      <c r="E511" s="15" t="s">
        <v>43</v>
      </c>
      <c r="F511" s="19">
        <f>VLOOKUP( $A511, Sovereignty!$A$2:$L$510, 12, 0 )</f>
        <v>0</v>
      </c>
    </row>
    <row r="512" spans="1:6" x14ac:dyDescent="0.2">
      <c r="A512" s="15" t="s">
        <v>849</v>
      </c>
      <c r="B512" s="15">
        <v>19460101</v>
      </c>
      <c r="C512" s="15">
        <v>20261231</v>
      </c>
      <c r="D512" s="15" t="s">
        <v>761</v>
      </c>
      <c r="E512" s="15" t="s">
        <v>761</v>
      </c>
      <c r="F512" s="19">
        <f>VLOOKUP( $A512, Sovereignty!$A$2:$L$510, 12, 0 )</f>
        <v>0</v>
      </c>
    </row>
    <row r="513" spans="1:6" x14ac:dyDescent="0.2">
      <c r="A513" s="15" t="s">
        <v>849</v>
      </c>
      <c r="B513" s="15">
        <v>16350101</v>
      </c>
      <c r="C513" s="15">
        <v>19460101</v>
      </c>
      <c r="D513" s="15" t="s">
        <v>761</v>
      </c>
      <c r="E513" s="15" t="s">
        <v>845</v>
      </c>
      <c r="F513" s="19">
        <f>VLOOKUP( $A513, Sovereignty!$A$2:$L$510, 12, 0 )</f>
        <v>0</v>
      </c>
    </row>
    <row r="514" spans="1:6" x14ac:dyDescent="0.2">
      <c r="A514" s="15" t="s">
        <v>1001</v>
      </c>
      <c r="B514" s="15">
        <v>19830919</v>
      </c>
      <c r="C514" s="15">
        <v>20261231</v>
      </c>
      <c r="D514" s="15" t="s">
        <v>134</v>
      </c>
      <c r="E514" s="15" t="s">
        <v>2069</v>
      </c>
      <c r="F514" s="19">
        <f>VLOOKUP( $A514, Sovereignty!$A$2:$L$510, 12, 0 )</f>
        <v>0</v>
      </c>
    </row>
    <row r="515" spans="1:6" x14ac:dyDescent="0.2">
      <c r="A515" s="15" t="s">
        <v>2066</v>
      </c>
      <c r="B515" s="15">
        <v>18820616</v>
      </c>
      <c r="C515" s="15">
        <v>19830919</v>
      </c>
      <c r="D515" s="15" t="s">
        <v>134</v>
      </c>
      <c r="E515" s="15" t="s">
        <v>2068</v>
      </c>
      <c r="F515" s="19">
        <f>VLOOKUP( $A515, Sovereignty!$A$2:$L$510, 12, 0 )</f>
        <v>0</v>
      </c>
    </row>
    <row r="516" spans="1:6" x14ac:dyDescent="0.2">
      <c r="A516" s="15" t="s">
        <v>1005</v>
      </c>
      <c r="B516" s="15">
        <v>19811101</v>
      </c>
      <c r="C516" s="15">
        <v>20261231</v>
      </c>
      <c r="D516" s="15" t="s">
        <v>5</v>
      </c>
      <c r="E516" s="15" t="s">
        <v>5</v>
      </c>
      <c r="F516" s="19">
        <f>VLOOKUP( $A516, Sovereignty!$A$2:$L$510, 12, 0 )</f>
        <v>0</v>
      </c>
    </row>
    <row r="517" spans="1:6" x14ac:dyDescent="0.2">
      <c r="A517" s="15" t="s">
        <v>2073</v>
      </c>
      <c r="B517" s="15">
        <v>16320101</v>
      </c>
      <c r="C517" s="15">
        <v>19811101</v>
      </c>
      <c r="D517" s="15" t="s">
        <v>1615</v>
      </c>
      <c r="E517" s="15" t="s">
        <v>1615</v>
      </c>
      <c r="F517" s="19">
        <f>VLOOKUP( $A517, Sovereignty!$A$2:$L$510, 12, 0 )</f>
        <v>0</v>
      </c>
    </row>
    <row r="518" spans="1:6" x14ac:dyDescent="0.2">
      <c r="A518" s="15" t="s">
        <v>2071</v>
      </c>
      <c r="B518" s="15">
        <v>16780101</v>
      </c>
      <c r="C518" s="15">
        <v>19811101</v>
      </c>
      <c r="D518" s="15" t="s">
        <v>2072</v>
      </c>
      <c r="E518" s="15" t="s">
        <v>2072</v>
      </c>
      <c r="F518" s="19">
        <f>VLOOKUP( $A518, Sovereignty!$A$2:$L$510, 12, 0 )</f>
        <v>0</v>
      </c>
    </row>
    <row r="519" spans="1:6" x14ac:dyDescent="0.2">
      <c r="A519" s="15" t="s">
        <v>2093</v>
      </c>
      <c r="B519" s="15">
        <v>18650715</v>
      </c>
      <c r="C519" s="15">
        <v>20261231</v>
      </c>
      <c r="D519" s="15" t="s">
        <v>44</v>
      </c>
      <c r="E519" s="15" t="s">
        <v>44</v>
      </c>
      <c r="F519" s="19">
        <f>VLOOKUP( $A519, Sovereignty!$A$2:$L$510, 12, 0 )</f>
        <v>0</v>
      </c>
    </row>
    <row r="520" spans="1:6" x14ac:dyDescent="0.2">
      <c r="A520" s="15" t="s">
        <v>2092</v>
      </c>
      <c r="B520" s="15">
        <v>18610318</v>
      </c>
      <c r="C520" s="15">
        <v>18650715</v>
      </c>
      <c r="D520" s="15" t="s">
        <v>245</v>
      </c>
      <c r="E520" s="15" t="s">
        <v>2094</v>
      </c>
      <c r="F520" s="19">
        <f>VLOOKUP( $A520, Sovereignty!$A$2:$L$510, 12, 0 )</f>
        <v>0</v>
      </c>
    </row>
    <row r="521" spans="1:6" x14ac:dyDescent="0.2">
      <c r="A521" s="15" t="s">
        <v>1012</v>
      </c>
      <c r="B521" s="15">
        <v>18440227</v>
      </c>
      <c r="C521" s="15">
        <v>18610318</v>
      </c>
      <c r="D521" s="15" t="s">
        <v>44</v>
      </c>
      <c r="E521" s="15" t="s">
        <v>44</v>
      </c>
      <c r="F521" s="19">
        <f>VLOOKUP( $A521, Sovereignty!$A$2:$L$510, 12, 0 )</f>
        <v>0</v>
      </c>
    </row>
    <row r="522" spans="1:6" x14ac:dyDescent="0.2">
      <c r="A522" s="15" t="s">
        <v>2090</v>
      </c>
      <c r="B522" s="15">
        <v>18090709</v>
      </c>
      <c r="C522" s="15">
        <v>18220209</v>
      </c>
      <c r="D522" s="15" t="s">
        <v>245</v>
      </c>
      <c r="E522" s="15" t="s">
        <v>2091</v>
      </c>
      <c r="F522" s="19">
        <f>VLOOKUP( $A522, Sovereignty!$A$2:$L$510, 12, 0 )</f>
        <v>0</v>
      </c>
    </row>
    <row r="523" spans="1:6" x14ac:dyDescent="0.2">
      <c r="A523" s="15" t="s">
        <v>2089</v>
      </c>
      <c r="B523" s="15">
        <v>17950722</v>
      </c>
      <c r="C523" s="15">
        <v>18090709</v>
      </c>
      <c r="D523" s="15" t="s">
        <v>2378</v>
      </c>
      <c r="E523" s="15" t="s">
        <v>2379</v>
      </c>
      <c r="F523" s="19">
        <f>VLOOKUP( $A523, Sovereignty!$A$2:$L$510, 12, 0 )</f>
        <v>0</v>
      </c>
    </row>
    <row r="524" spans="1:6" x14ac:dyDescent="0.2">
      <c r="A524" s="15" t="s">
        <v>2087</v>
      </c>
      <c r="B524" s="15">
        <v>14921205</v>
      </c>
      <c r="C524" s="15">
        <v>17950722</v>
      </c>
      <c r="D524" s="15" t="s">
        <v>245</v>
      </c>
      <c r="E524" s="15" t="s">
        <v>2088</v>
      </c>
      <c r="F524" s="19">
        <f>VLOOKUP( $A524, Sovereignty!$A$2:$L$510, 12, 0 )</f>
        <v>0</v>
      </c>
    </row>
    <row r="525" spans="1:6" x14ac:dyDescent="0.2">
      <c r="A525" s="15" t="s">
        <v>2077</v>
      </c>
      <c r="B525" s="15">
        <v>16120101</v>
      </c>
      <c r="C525" s="15">
        <v>20261231</v>
      </c>
      <c r="D525" s="15" t="s">
        <v>765</v>
      </c>
      <c r="E525" s="15" t="s">
        <v>765</v>
      </c>
      <c r="F525" s="19">
        <f>VLOOKUP( $A525, Sovereignty!$A$2:$L$510, 12, 0 )</f>
        <v>0</v>
      </c>
    </row>
    <row r="526" spans="1:6" x14ac:dyDescent="0.2">
      <c r="A526" s="15" t="s">
        <v>871</v>
      </c>
      <c r="B526" s="15">
        <v>16700101</v>
      </c>
      <c r="C526" s="15">
        <v>20261231</v>
      </c>
      <c r="D526" s="15" t="s">
        <v>766</v>
      </c>
      <c r="E526" s="15" t="s">
        <v>766</v>
      </c>
      <c r="F526" s="19">
        <f>VLOOKUP( $A526, Sovereignty!$A$2:$L$510, 12, 0 )</f>
        <v>0</v>
      </c>
    </row>
    <row r="527" spans="1:6" x14ac:dyDescent="0.2">
      <c r="A527" s="15" t="s">
        <v>2080</v>
      </c>
      <c r="B527" s="15">
        <v>17830903</v>
      </c>
      <c r="C527" s="15">
        <v>20261231</v>
      </c>
      <c r="D527" s="15" t="s">
        <v>872</v>
      </c>
      <c r="E527" s="15" t="s">
        <v>872</v>
      </c>
      <c r="F527" s="19">
        <f>VLOOKUP( $A527, Sovereignty!$A$2:$L$510, 12, 0 )</f>
        <v>0</v>
      </c>
    </row>
    <row r="528" spans="1:6" x14ac:dyDescent="0.2">
      <c r="A528" s="15" t="s">
        <v>889</v>
      </c>
      <c r="B528" s="15">
        <v>16720101</v>
      </c>
      <c r="C528" s="15">
        <v>20261231</v>
      </c>
      <c r="D528" s="15" t="s">
        <v>777</v>
      </c>
      <c r="E528" s="15" t="s">
        <v>777</v>
      </c>
      <c r="F528" s="19">
        <f>VLOOKUP( $A528, Sovereignty!$A$2:$L$510, 12, 0 )</f>
        <v>0</v>
      </c>
    </row>
    <row r="529" spans="1:6" x14ac:dyDescent="0.2">
      <c r="A529" s="15" t="s">
        <v>2084</v>
      </c>
      <c r="B529" s="15">
        <v>16670101</v>
      </c>
      <c r="C529" s="15">
        <v>20261231</v>
      </c>
      <c r="D529" s="15" t="s">
        <v>778</v>
      </c>
      <c r="E529" s="15" t="s">
        <v>778</v>
      </c>
      <c r="F529" s="19">
        <f>VLOOKUP( $A529, Sovereignty!$A$2:$L$510, 12, 0 )</f>
        <v>0</v>
      </c>
    </row>
    <row r="530" spans="1:6" x14ac:dyDescent="0.2">
      <c r="A530" s="15" t="s">
        <v>2097</v>
      </c>
      <c r="B530" s="15">
        <v>18040101</v>
      </c>
      <c r="C530" s="15">
        <v>20261231</v>
      </c>
      <c r="D530" s="15" t="s">
        <v>65</v>
      </c>
      <c r="E530" s="15" t="s">
        <v>2096</v>
      </c>
      <c r="F530" s="19">
        <f>VLOOKUP( $A530, Sovereignty!$A$2:$L$510, 12, 0 )</f>
        <v>0</v>
      </c>
    </row>
    <row r="531" spans="1:6" x14ac:dyDescent="0.2">
      <c r="A531" s="15" t="s">
        <v>2098</v>
      </c>
      <c r="B531" s="15">
        <v>16970101</v>
      </c>
      <c r="C531" s="15">
        <v>18040101</v>
      </c>
      <c r="D531" s="15" t="s">
        <v>2099</v>
      </c>
      <c r="E531" s="15" t="s">
        <v>2099</v>
      </c>
      <c r="F531" s="19">
        <f>VLOOKUP( $A531, Sovereignty!$A$2:$L$510, 12, 0 )</f>
        <v>0</v>
      </c>
    </row>
    <row r="532" spans="1:6" x14ac:dyDescent="0.2">
      <c r="A532" s="15" t="s">
        <v>1006</v>
      </c>
      <c r="B532" s="15">
        <v>19020520</v>
      </c>
      <c r="C532" s="15">
        <v>20261231</v>
      </c>
      <c r="D532" s="15" t="s">
        <v>38</v>
      </c>
      <c r="E532" s="15" t="s">
        <v>2109</v>
      </c>
      <c r="F532" s="19">
        <f>VLOOKUP( $A532, Sovereignty!$A$2:$L$510, 12, 0 )</f>
        <v>0</v>
      </c>
    </row>
    <row r="533" spans="1:6" x14ac:dyDescent="0.2">
      <c r="A533" s="15" t="s">
        <v>2103</v>
      </c>
      <c r="B533" s="15">
        <v>18981210</v>
      </c>
      <c r="C533" s="15">
        <v>19020520</v>
      </c>
      <c r="D533" s="15" t="s">
        <v>38</v>
      </c>
      <c r="E533" s="15" t="s">
        <v>2108</v>
      </c>
      <c r="F533" s="19">
        <f>VLOOKUP( $A533, Sovereignty!$A$2:$L$510, 12, 0 )</f>
        <v>0</v>
      </c>
    </row>
    <row r="534" spans="1:6" x14ac:dyDescent="0.2">
      <c r="A534" s="15" t="s">
        <v>2104</v>
      </c>
      <c r="B534" s="15">
        <v>16070101</v>
      </c>
      <c r="C534" s="15">
        <v>18981210</v>
      </c>
      <c r="D534" s="15" t="s">
        <v>38</v>
      </c>
      <c r="E534" s="15" t="s">
        <v>2107</v>
      </c>
      <c r="F534" s="19">
        <f>VLOOKUP( $A534, Sovereignty!$A$2:$L$510, 12, 0 )</f>
        <v>0</v>
      </c>
    </row>
    <row r="535" spans="1:6" x14ac:dyDescent="0.2">
      <c r="A535" s="15" t="s">
        <v>1003</v>
      </c>
      <c r="B535" s="15">
        <v>19620806</v>
      </c>
      <c r="C535" s="15">
        <v>20261231</v>
      </c>
      <c r="D535" s="15" t="s">
        <v>75</v>
      </c>
      <c r="E535" s="15" t="s">
        <v>75</v>
      </c>
      <c r="F535" s="19">
        <f>VLOOKUP( $A535, Sovereignty!$A$2:$L$510, 12, 0 )</f>
        <v>0</v>
      </c>
    </row>
    <row r="536" spans="1:6" x14ac:dyDescent="0.2">
      <c r="A536" s="15" t="s">
        <v>2114</v>
      </c>
      <c r="B536" s="15">
        <v>16550510</v>
      </c>
      <c r="C536" s="15">
        <v>19620806</v>
      </c>
      <c r="D536" s="15" t="s">
        <v>75</v>
      </c>
      <c r="E536" s="15" t="s">
        <v>2118</v>
      </c>
      <c r="F536" s="19">
        <f>VLOOKUP( $A536, Sovereignty!$A$2:$L$510, 12, 0 )</f>
        <v>0</v>
      </c>
    </row>
    <row r="537" spans="1:6" x14ac:dyDescent="0.2">
      <c r="A537" s="15" t="s">
        <v>2115</v>
      </c>
      <c r="B537" s="15">
        <v>15090101</v>
      </c>
      <c r="C537" s="15">
        <v>16550510</v>
      </c>
      <c r="D537" s="15" t="s">
        <v>229</v>
      </c>
      <c r="E537" s="15" t="s">
        <v>2119</v>
      </c>
      <c r="F537" s="19">
        <f>VLOOKUP( $A537, Sovereignty!$A$2:$L$510, 12, 0 )</f>
        <v>0</v>
      </c>
    </row>
    <row r="538" spans="1:6" x14ac:dyDescent="0.2">
      <c r="A538" s="15" t="s">
        <v>1011</v>
      </c>
      <c r="B538" s="15">
        <v>19031103</v>
      </c>
      <c r="C538" s="15">
        <v>20261231</v>
      </c>
      <c r="D538" s="15" t="s">
        <v>122</v>
      </c>
      <c r="E538" s="15" t="s">
        <v>2124</v>
      </c>
      <c r="F538" s="19">
        <f>VLOOKUP( $A538, Sovereignty!$A$2:$L$510, 12, 0 )</f>
        <v>0</v>
      </c>
    </row>
    <row r="539" spans="1:6" x14ac:dyDescent="0.2">
      <c r="A539" s="15" t="s">
        <v>1020</v>
      </c>
      <c r="B539" s="15">
        <v>18470831</v>
      </c>
      <c r="C539" s="15">
        <v>20261231</v>
      </c>
      <c r="D539" s="15" t="s">
        <v>36</v>
      </c>
      <c r="E539" s="15" t="s">
        <v>2131</v>
      </c>
      <c r="F539" s="19">
        <f>VLOOKUP( $A539, Sovereignty!$A$2:$L$510, 12, 0 )</f>
        <v>0</v>
      </c>
    </row>
    <row r="540" spans="1:6" x14ac:dyDescent="0.2">
      <c r="A540" s="15" t="s">
        <v>1020</v>
      </c>
      <c r="B540" s="15">
        <v>18381114</v>
      </c>
      <c r="C540" s="15">
        <v>18470831</v>
      </c>
      <c r="D540" s="15" t="s">
        <v>36</v>
      </c>
      <c r="E540" s="15" t="s">
        <v>2130</v>
      </c>
      <c r="F540" s="19">
        <f>VLOOKUP( $A540, Sovereignty!$A$2:$L$510, 12, 0 )</f>
        <v>0</v>
      </c>
    </row>
    <row r="541" spans="1:6" x14ac:dyDescent="0.2">
      <c r="A541" s="15" t="s">
        <v>2126</v>
      </c>
      <c r="B541" s="15">
        <v>18230701</v>
      </c>
      <c r="C541" s="15">
        <v>18410130</v>
      </c>
      <c r="D541" s="15" t="s">
        <v>2127</v>
      </c>
      <c r="E541" s="15" t="s">
        <v>2127</v>
      </c>
      <c r="F541" s="19">
        <f>VLOOKUP( $A541, Sovereignty!$A$2:$L$510, 12, 0 )</f>
        <v>0</v>
      </c>
    </row>
    <row r="542" spans="1:6" x14ac:dyDescent="0.2">
      <c r="A542" s="15" t="s">
        <v>1007</v>
      </c>
      <c r="B542" s="15">
        <v>18380430</v>
      </c>
      <c r="C542" s="15">
        <v>20261231</v>
      </c>
      <c r="D542" s="15" t="s">
        <v>114</v>
      </c>
      <c r="E542" s="15" t="s">
        <v>2149</v>
      </c>
      <c r="F542" s="19">
        <f>VLOOKUP( $A542, Sovereignty!$A$2:$L$510, 12, 0 )</f>
        <v>0</v>
      </c>
    </row>
    <row r="543" spans="1:6" x14ac:dyDescent="0.2">
      <c r="A543" s="15" t="s">
        <v>2144</v>
      </c>
      <c r="B543" s="15">
        <v>16090101</v>
      </c>
      <c r="C543" s="15">
        <v>18210915</v>
      </c>
      <c r="D543" s="15" t="s">
        <v>61</v>
      </c>
      <c r="E543" s="15" t="s">
        <v>2148</v>
      </c>
      <c r="F543" s="19">
        <f>VLOOKUP( $A543, Sovereignty!$A$2:$L$510, 12, 0 )</f>
        <v>0</v>
      </c>
    </row>
    <row r="544" spans="1:6" x14ac:dyDescent="0.2">
      <c r="A544" s="15" t="s">
        <v>1008</v>
      </c>
      <c r="B544" s="15">
        <v>18381105</v>
      </c>
      <c r="C544" s="15">
        <v>20261231</v>
      </c>
      <c r="D544" s="15" t="s">
        <v>66</v>
      </c>
      <c r="E544" s="15" t="s">
        <v>2266</v>
      </c>
      <c r="F544" s="19">
        <f>VLOOKUP( $A544, Sovereignty!$A$2:$L$510, 12, 0 )</f>
        <v>0</v>
      </c>
    </row>
    <row r="545" spans="1:6" x14ac:dyDescent="0.2">
      <c r="A545" s="15" t="s">
        <v>1013</v>
      </c>
      <c r="B545" s="15">
        <v>18390417</v>
      </c>
      <c r="C545" s="15">
        <v>20261231</v>
      </c>
      <c r="D545" s="15" t="s">
        <v>61</v>
      </c>
      <c r="E545" s="15" t="s">
        <v>2267</v>
      </c>
      <c r="F545" s="19">
        <f>VLOOKUP( $A545, Sovereignty!$A$2:$L$510, 12, 0 )</f>
        <v>0</v>
      </c>
    </row>
    <row r="546" spans="1:6" x14ac:dyDescent="0.2">
      <c r="A546" s="15" t="s">
        <v>1015</v>
      </c>
      <c r="B546" s="15">
        <v>19810921</v>
      </c>
      <c r="C546" s="15">
        <v>20261231</v>
      </c>
      <c r="D546" s="15" t="s">
        <v>16</v>
      </c>
      <c r="E546" s="15" t="s">
        <v>16</v>
      </c>
      <c r="F546" s="19">
        <f>VLOOKUP( $A546, Sovereignty!$A$2:$L$510, 12, 0 )</f>
        <v>0</v>
      </c>
    </row>
    <row r="547" spans="1:6" x14ac:dyDescent="0.2">
      <c r="A547" s="15" t="s">
        <v>2268</v>
      </c>
      <c r="B547" s="15">
        <v>19730601</v>
      </c>
      <c r="C547" s="15">
        <v>19810921</v>
      </c>
      <c r="D547" s="15" t="s">
        <v>16</v>
      </c>
      <c r="E547" s="15" t="s">
        <v>16</v>
      </c>
      <c r="F547" s="19">
        <f>VLOOKUP( $A547, Sovereignty!$A$2:$L$510, 12, 0 )</f>
        <v>0</v>
      </c>
    </row>
    <row r="548" spans="1:6" x14ac:dyDescent="0.2">
      <c r="A548" s="15" t="s">
        <v>2268</v>
      </c>
      <c r="B548" s="15">
        <v>18620101</v>
      </c>
      <c r="C548" s="15">
        <v>19730601</v>
      </c>
      <c r="D548" s="15" t="s">
        <v>2269</v>
      </c>
      <c r="E548" s="15" t="s">
        <v>2273</v>
      </c>
      <c r="F548" s="19">
        <f>VLOOKUP( $A548, Sovereignty!$A$2:$L$510, 12, 0 )</f>
        <v>0</v>
      </c>
    </row>
    <row r="549" spans="1:6" x14ac:dyDescent="0.2">
      <c r="A549" s="15" t="s">
        <v>1019</v>
      </c>
      <c r="B549" s="15">
        <v>18410130</v>
      </c>
      <c r="C549" s="15">
        <v>20261231</v>
      </c>
      <c r="D549" s="15" t="s">
        <v>48</v>
      </c>
      <c r="E549" s="15" t="s">
        <v>2275</v>
      </c>
      <c r="F549" s="19">
        <f>VLOOKUP( $A549, Sovereignty!$A$2:$L$510, 12, 0 )</f>
        <v>0</v>
      </c>
    </row>
    <row r="550" spans="1:6" x14ac:dyDescent="0.2">
      <c r="A550" s="15" t="s">
        <v>1014</v>
      </c>
      <c r="B550" s="15">
        <v>18210927</v>
      </c>
      <c r="C550" s="15">
        <v>20261231</v>
      </c>
      <c r="D550" s="15" t="s">
        <v>102</v>
      </c>
      <c r="E550" s="15" t="s">
        <v>2277</v>
      </c>
      <c r="F550" s="19">
        <f>VLOOKUP( $A550, Sovereignty!$A$2:$L$510, 12, 0 )</f>
        <v>0</v>
      </c>
    </row>
    <row r="551" spans="1:6" x14ac:dyDescent="0.2">
      <c r="A551" s="15" t="s">
        <v>2279</v>
      </c>
      <c r="B551" s="15">
        <v>15350101</v>
      </c>
      <c r="C551" s="15">
        <v>18210927</v>
      </c>
      <c r="D551" s="15" t="s">
        <v>2278</v>
      </c>
      <c r="E551" s="15" t="s">
        <v>2280</v>
      </c>
      <c r="F551" s="19">
        <f>VLOOKUP( $A551, Sovereignty!$A$2:$L$510, 12, 0 )</f>
        <v>0</v>
      </c>
    </row>
    <row r="552" spans="1:6" x14ac:dyDescent="0.2">
      <c r="A552" s="15" t="s">
        <v>831</v>
      </c>
      <c r="B552" s="15">
        <v>19520725</v>
      </c>
      <c r="C552" s="15">
        <v>20261231</v>
      </c>
      <c r="D552" s="15" t="s">
        <v>757</v>
      </c>
      <c r="E552" s="15" t="s">
        <v>830</v>
      </c>
      <c r="F552" s="19">
        <f>VLOOKUP( $A552, Sovereignty!$A$2:$L$510, 12, 0 )</f>
        <v>0</v>
      </c>
    </row>
    <row r="553" spans="1:6" x14ac:dyDescent="0.2">
      <c r="A553" s="15" t="s">
        <v>831</v>
      </c>
      <c r="B553" s="15">
        <v>18981210</v>
      </c>
      <c r="C553" s="15">
        <v>19520725</v>
      </c>
      <c r="D553" s="15" t="s">
        <v>757</v>
      </c>
      <c r="E553" s="15" t="s">
        <v>835</v>
      </c>
      <c r="F553" s="19">
        <f>VLOOKUP( $A553, Sovereignty!$A$2:$L$510, 12, 0 )</f>
        <v>0</v>
      </c>
    </row>
    <row r="554" spans="1:6" x14ac:dyDescent="0.2">
      <c r="A554" s="15" t="s">
        <v>833</v>
      </c>
      <c r="B554" s="15">
        <v>15820101</v>
      </c>
      <c r="C554" s="15">
        <v>18981210</v>
      </c>
      <c r="D554" s="15" t="s">
        <v>757</v>
      </c>
      <c r="E554" s="15" t="s">
        <v>834</v>
      </c>
      <c r="F554" s="19">
        <f>VLOOKUP( $A554, Sovereignty!$A$2:$L$510, 12, 0 )</f>
        <v>0</v>
      </c>
    </row>
    <row r="555" spans="1:6" x14ac:dyDescent="0.2">
      <c r="A555" s="15" t="s">
        <v>841</v>
      </c>
      <c r="B555" s="15">
        <v>19170331</v>
      </c>
      <c r="C555" s="15">
        <v>20261231</v>
      </c>
      <c r="D555" s="15" t="s">
        <v>758</v>
      </c>
      <c r="E555" s="15" t="s">
        <v>840</v>
      </c>
      <c r="F555" s="19">
        <f>VLOOKUP( $A555, Sovereignty!$A$2:$L$510, 12, 0 )</f>
        <v>0</v>
      </c>
    </row>
    <row r="556" spans="1:6" x14ac:dyDescent="0.2">
      <c r="A556" s="15" t="s">
        <v>837</v>
      </c>
      <c r="B556" s="15">
        <v>16720101</v>
      </c>
      <c r="C556" s="15">
        <v>19170331</v>
      </c>
      <c r="D556" s="15" t="s">
        <v>836</v>
      </c>
      <c r="E556" s="15" t="s">
        <v>836</v>
      </c>
      <c r="F556" s="19">
        <f>VLOOKUP( $A556, Sovereignty!$A$2:$L$510, 12, 0 )</f>
        <v>0</v>
      </c>
    </row>
    <row r="557" spans="1:6" x14ac:dyDescent="0.2">
      <c r="A557" s="15" t="s">
        <v>1018</v>
      </c>
      <c r="B557" s="15">
        <v>17760704</v>
      </c>
      <c r="C557" s="15">
        <v>20261231</v>
      </c>
      <c r="D557" s="15" t="s">
        <v>389</v>
      </c>
      <c r="E557" s="15" t="s">
        <v>389</v>
      </c>
      <c r="F557" s="19">
        <f>VLOOKUP( $A557, Sovereignty!$A$2:$L$510, 12, 0 )</f>
        <v>0</v>
      </c>
    </row>
    <row r="558" spans="1:6" x14ac:dyDescent="0.2">
      <c r="A558" s="15" t="s">
        <v>1017</v>
      </c>
      <c r="B558" s="15">
        <v>18670701</v>
      </c>
      <c r="C558" s="15">
        <v>20261231</v>
      </c>
      <c r="D558" s="15" t="s">
        <v>29</v>
      </c>
      <c r="E558" s="15" t="s">
        <v>29</v>
      </c>
      <c r="F558" s="19">
        <f>VLOOKUP( $A558, Sovereignty!$A$2:$L$510, 12, 0 )</f>
        <v>0</v>
      </c>
    </row>
    <row r="559" spans="1:6" x14ac:dyDescent="0.2">
      <c r="A559" s="15" t="s">
        <v>825</v>
      </c>
      <c r="B559" s="15">
        <v>20090621</v>
      </c>
      <c r="C559" s="15">
        <v>20261231</v>
      </c>
      <c r="D559" s="15" t="s">
        <v>756</v>
      </c>
      <c r="E559" s="15" t="s">
        <v>829</v>
      </c>
      <c r="F559" s="19">
        <f>VLOOKUP( $A559, Sovereignty!$A$2:$L$510, 12, 0 )</f>
        <v>0</v>
      </c>
    </row>
    <row r="560" spans="1:6" x14ac:dyDescent="0.2">
      <c r="A560" s="15" t="s">
        <v>825</v>
      </c>
      <c r="B560" s="15">
        <v>19790501</v>
      </c>
      <c r="C560" s="15">
        <v>20090621</v>
      </c>
      <c r="D560" s="15" t="s">
        <v>756</v>
      </c>
      <c r="E560" s="15" t="s">
        <v>828</v>
      </c>
      <c r="F560" s="19">
        <f>VLOOKUP( $A560, Sovereignty!$A$2:$L$510, 12, 0 )</f>
        <v>0</v>
      </c>
    </row>
    <row r="561" spans="1:6" x14ac:dyDescent="0.2">
      <c r="A561" s="15" t="s">
        <v>825</v>
      </c>
      <c r="B561" s="15">
        <v>19530101</v>
      </c>
      <c r="C561" s="15">
        <v>19790501</v>
      </c>
      <c r="D561" s="15" t="s">
        <v>756</v>
      </c>
      <c r="E561" s="15" t="s">
        <v>827</v>
      </c>
      <c r="F561" s="19">
        <f>VLOOKUP( $A561, Sovereignty!$A$2:$L$510, 12, 0 )</f>
        <v>0</v>
      </c>
    </row>
    <row r="562" spans="1:6" x14ac:dyDescent="0.2">
      <c r="A562" s="15" t="s">
        <v>825</v>
      </c>
      <c r="B562" s="15">
        <v>17210101</v>
      </c>
      <c r="C562" s="15">
        <v>19530101</v>
      </c>
      <c r="D562" s="15" t="s">
        <v>756</v>
      </c>
      <c r="E562" s="15" t="s">
        <v>826</v>
      </c>
      <c r="F562" s="19">
        <f>VLOOKUP( $A562, Sovereignty!$A$2:$L$510, 12, 0 )</f>
        <v>0</v>
      </c>
    </row>
    <row r="563" spans="1:6" x14ac:dyDescent="0.2">
      <c r="A563" s="15" t="s">
        <v>1499</v>
      </c>
      <c r="B563" s="15">
        <v>18140530</v>
      </c>
      <c r="C563" s="15">
        <v>20261231</v>
      </c>
      <c r="D563" s="15" t="s">
        <v>775</v>
      </c>
      <c r="E563" s="15" t="s">
        <v>775</v>
      </c>
      <c r="F563" s="19" t="str">
        <f>VLOOKUP( $A563, Sovereignty!$A$2:$L$510, 12, 0 )</f>
        <v>x</v>
      </c>
    </row>
    <row r="564" spans="1:6" x14ac:dyDescent="0.2">
      <c r="A564" s="15" t="s">
        <v>755</v>
      </c>
      <c r="B564" s="15">
        <v>19010101</v>
      </c>
      <c r="C564" s="15">
        <v>20261231</v>
      </c>
      <c r="D564" s="15" t="s">
        <v>8</v>
      </c>
      <c r="E564" s="15" t="s">
        <v>754</v>
      </c>
      <c r="F564" s="19">
        <f>VLOOKUP( $A564, Sovereignty!$A$2:$L$510, 12, 0 )</f>
        <v>0</v>
      </c>
    </row>
    <row r="565" spans="1:6" x14ac:dyDescent="0.2">
      <c r="A565" s="15" t="s">
        <v>752</v>
      </c>
      <c r="B565" s="15">
        <v>17880118</v>
      </c>
      <c r="C565" s="15">
        <v>19010101</v>
      </c>
      <c r="D565" s="15" t="s">
        <v>753</v>
      </c>
      <c r="E565" s="15" t="s">
        <v>641</v>
      </c>
      <c r="F565" s="19">
        <f>VLOOKUP( $A565, Sovereignty!$A$2:$L$510, 12, 0 )</f>
        <v>0</v>
      </c>
    </row>
    <row r="566" spans="1:6" x14ac:dyDescent="0.2">
      <c r="A566" s="15" t="s">
        <v>750</v>
      </c>
      <c r="B566" s="15">
        <v>19471125</v>
      </c>
      <c r="C566" s="15">
        <v>20261231</v>
      </c>
      <c r="D566" s="15" t="s">
        <v>113</v>
      </c>
      <c r="E566" s="15" t="s">
        <v>113</v>
      </c>
      <c r="F566" s="19">
        <f>VLOOKUP( $A566, Sovereignty!$A$2:$L$510, 12, 0 )</f>
        <v>0</v>
      </c>
    </row>
    <row r="567" spans="1:6" x14ac:dyDescent="0.2">
      <c r="A567" s="15" t="s">
        <v>750</v>
      </c>
      <c r="B567" s="15">
        <v>19070926</v>
      </c>
      <c r="C567" s="15">
        <v>19471125</v>
      </c>
      <c r="D567" s="15" t="s">
        <v>113</v>
      </c>
      <c r="E567" s="15" t="s">
        <v>2294</v>
      </c>
      <c r="F567" s="19">
        <f>VLOOKUP( $A567, Sovereignty!$A$2:$L$510, 12, 0 )</f>
        <v>0</v>
      </c>
    </row>
    <row r="568" spans="1:6" x14ac:dyDescent="0.2">
      <c r="A568" s="15" t="s">
        <v>748</v>
      </c>
      <c r="B568" s="15">
        <v>18410503</v>
      </c>
      <c r="C568" s="15">
        <v>19070926</v>
      </c>
      <c r="D568" s="15" t="s">
        <v>113</v>
      </c>
      <c r="E568" s="15" t="s">
        <v>749</v>
      </c>
      <c r="F568" s="19">
        <f>VLOOKUP( $A568, Sovereignty!$A$2:$L$510, 12, 0 )</f>
        <v>0</v>
      </c>
    </row>
    <row r="569" spans="1:6" x14ac:dyDescent="0.2">
      <c r="A569" s="15" t="s">
        <v>744</v>
      </c>
      <c r="B569" s="15">
        <v>19750916</v>
      </c>
      <c r="C569" s="15">
        <v>20261231</v>
      </c>
      <c r="D569" s="15" t="s">
        <v>123</v>
      </c>
      <c r="E569" s="15" t="s">
        <v>745</v>
      </c>
      <c r="F569" s="19">
        <f>VLOOKUP( $A569, Sovereignty!$A$2:$L$510, 12, 0 )</f>
        <v>0</v>
      </c>
    </row>
    <row r="570" spans="1:6" x14ac:dyDescent="0.2">
      <c r="A570" s="15" t="s">
        <v>741</v>
      </c>
      <c r="B570" s="15">
        <v>19490701</v>
      </c>
      <c r="C570" s="15">
        <v>19750916</v>
      </c>
      <c r="D570" s="15" t="s">
        <v>123</v>
      </c>
      <c r="E570" s="15" t="s">
        <v>740</v>
      </c>
      <c r="F570" s="19">
        <f>VLOOKUP( $A570, Sovereignty!$A$2:$L$510, 12, 0 )</f>
        <v>0</v>
      </c>
    </row>
    <row r="571" spans="1:6" x14ac:dyDescent="0.2">
      <c r="A571" s="15" t="s">
        <v>738</v>
      </c>
      <c r="B571" s="15">
        <v>19370101</v>
      </c>
      <c r="C571" s="15">
        <v>19490701</v>
      </c>
      <c r="D571" s="15" t="s">
        <v>746</v>
      </c>
      <c r="E571" s="15" t="s">
        <v>639</v>
      </c>
      <c r="F571" s="19">
        <f>VLOOKUP( $A571, Sovereignty!$A$2:$L$510, 12, 0 )</f>
        <v>0</v>
      </c>
    </row>
    <row r="572" spans="1:6" x14ac:dyDescent="0.2">
      <c r="A572" s="15" t="s">
        <v>738</v>
      </c>
      <c r="B572" s="15">
        <v>19201217</v>
      </c>
      <c r="C572" s="15">
        <v>19370101</v>
      </c>
      <c r="D572" s="15" t="s">
        <v>746</v>
      </c>
      <c r="E572" s="15" t="s">
        <v>636</v>
      </c>
      <c r="F572" s="19">
        <f>VLOOKUP( $A572, Sovereignty!$A$2:$L$510, 12, 0 )</f>
        <v>0</v>
      </c>
    </row>
    <row r="573" spans="1:6" x14ac:dyDescent="0.2">
      <c r="A573" s="15" t="s">
        <v>2302</v>
      </c>
      <c r="B573" s="15">
        <v>19020318</v>
      </c>
      <c r="C573" s="15">
        <v>19490701</v>
      </c>
      <c r="D573" s="15" t="s">
        <v>747</v>
      </c>
      <c r="E573" s="15" t="s">
        <v>742</v>
      </c>
      <c r="F573" s="19">
        <f>VLOOKUP( $A573, Sovereignty!$A$2:$L$510, 12, 0 )</f>
        <v>0</v>
      </c>
    </row>
    <row r="574" spans="1:6" x14ac:dyDescent="0.2">
      <c r="A574" s="15" t="s">
        <v>739</v>
      </c>
      <c r="B574" s="15">
        <v>18841021</v>
      </c>
      <c r="C574" s="15">
        <v>19020318</v>
      </c>
      <c r="D574" s="15" t="s">
        <v>743</v>
      </c>
      <c r="E574" s="15" t="s">
        <v>743</v>
      </c>
      <c r="F574" s="19">
        <f>VLOOKUP( $A574, Sovereignty!$A$2:$L$510, 12, 0 )</f>
        <v>0</v>
      </c>
    </row>
    <row r="575" spans="1:6" x14ac:dyDescent="0.2">
      <c r="A575" s="15" t="s">
        <v>714</v>
      </c>
      <c r="B575" s="15">
        <v>18841103</v>
      </c>
      <c r="C575" s="15">
        <v>19201217</v>
      </c>
      <c r="D575" s="15" t="s">
        <v>615</v>
      </c>
      <c r="E575" s="15" t="s">
        <v>615</v>
      </c>
      <c r="F575" s="19">
        <f>VLOOKUP( $A575, Sovereignty!$A$2:$L$510, 12, 0 )</f>
        <v>0</v>
      </c>
    </row>
    <row r="576" spans="1:6" x14ac:dyDescent="0.2">
      <c r="A576" s="15" t="s">
        <v>734</v>
      </c>
      <c r="B576" s="15">
        <v>19780707</v>
      </c>
      <c r="C576" s="15">
        <v>20261231</v>
      </c>
      <c r="D576" s="15" t="s">
        <v>147</v>
      </c>
      <c r="E576" s="15" t="s">
        <v>147</v>
      </c>
      <c r="F576" s="19">
        <f>VLOOKUP( $A576, Sovereignty!$A$2:$L$510, 12, 0 )</f>
        <v>0</v>
      </c>
    </row>
    <row r="577" spans="1:6" x14ac:dyDescent="0.2">
      <c r="A577" s="15" t="s">
        <v>732</v>
      </c>
      <c r="B577" s="15">
        <v>18930315</v>
      </c>
      <c r="C577" s="15">
        <v>19780707</v>
      </c>
      <c r="D577" s="15" t="s">
        <v>633</v>
      </c>
      <c r="E577" s="15" t="s">
        <v>733</v>
      </c>
      <c r="F577" s="19">
        <f>VLOOKUP( $A577, Sovereignty!$A$2:$L$510, 12, 0 )</f>
        <v>0</v>
      </c>
    </row>
    <row r="578" spans="1:6" x14ac:dyDescent="0.2">
      <c r="A578" s="15" t="s">
        <v>687</v>
      </c>
      <c r="B578" s="15">
        <v>19781001</v>
      </c>
      <c r="C578" s="15">
        <v>20261231</v>
      </c>
      <c r="D578" s="15" t="s">
        <v>169</v>
      </c>
      <c r="E578" s="15" t="s">
        <v>169</v>
      </c>
      <c r="F578" s="19">
        <f>VLOOKUP( $A578, Sovereignty!$A$2:$L$510, 12, 0 )</f>
        <v>0</v>
      </c>
    </row>
    <row r="579" spans="1:6" x14ac:dyDescent="0.2">
      <c r="A579" s="15" t="s">
        <v>695</v>
      </c>
      <c r="B579" s="15">
        <v>19760101</v>
      </c>
      <c r="C579" s="15">
        <v>19781001</v>
      </c>
      <c r="D579" s="15" t="s">
        <v>169</v>
      </c>
      <c r="E579" s="15" t="s">
        <v>696</v>
      </c>
      <c r="F579" s="19">
        <f>VLOOKUP( $A579, Sovereignty!$A$2:$L$510, 12, 0 )</f>
        <v>0</v>
      </c>
    </row>
    <row r="580" spans="1:6" x14ac:dyDescent="0.2">
      <c r="A580" s="15" t="s">
        <v>719</v>
      </c>
      <c r="B580" s="15">
        <v>19700604</v>
      </c>
      <c r="C580" s="15">
        <v>20261231</v>
      </c>
      <c r="D580" s="15" t="s">
        <v>164</v>
      </c>
      <c r="E580" s="15" t="s">
        <v>717</v>
      </c>
      <c r="F580" s="19">
        <f>VLOOKUP( $A580, Sovereignty!$A$2:$L$510, 12, 0 )</f>
        <v>0</v>
      </c>
    </row>
    <row r="581" spans="1:6" x14ac:dyDescent="0.2">
      <c r="A581" s="15" t="s">
        <v>718</v>
      </c>
      <c r="B581" s="15">
        <v>19000518</v>
      </c>
      <c r="C581" s="15">
        <v>19700604</v>
      </c>
      <c r="D581" s="15" t="s">
        <v>164</v>
      </c>
      <c r="E581" s="15" t="s">
        <v>717</v>
      </c>
      <c r="F581" s="19">
        <f>VLOOKUP( $A581, Sovereignty!$A$2:$L$510, 12, 0 )</f>
        <v>0</v>
      </c>
    </row>
    <row r="582" spans="1:6" x14ac:dyDescent="0.2">
      <c r="A582" s="15" t="s">
        <v>730</v>
      </c>
      <c r="B582" s="15">
        <v>19871006</v>
      </c>
      <c r="C582" s="15">
        <v>20261231</v>
      </c>
      <c r="D582" s="15" t="s">
        <v>54</v>
      </c>
      <c r="E582" s="15" t="s">
        <v>2309</v>
      </c>
      <c r="F582" s="19">
        <f>VLOOKUP( $A582, Sovereignty!$A$2:$L$510, 12, 0 )</f>
        <v>0</v>
      </c>
    </row>
    <row r="583" spans="1:6" x14ac:dyDescent="0.2">
      <c r="A583" s="15" t="s">
        <v>730</v>
      </c>
      <c r="B583" s="15">
        <v>19701010</v>
      </c>
      <c r="C583" s="15">
        <v>19871006</v>
      </c>
      <c r="D583" s="15" t="s">
        <v>54</v>
      </c>
      <c r="E583" s="15" t="s">
        <v>2308</v>
      </c>
      <c r="F583" s="19">
        <f>VLOOKUP( $A583, Sovereignty!$A$2:$L$510, 12, 0 )</f>
        <v>0</v>
      </c>
    </row>
    <row r="584" spans="1:6" x14ac:dyDescent="0.2">
      <c r="A584" s="15" t="s">
        <v>729</v>
      </c>
      <c r="B584" s="15">
        <v>18741010</v>
      </c>
      <c r="C584" s="15">
        <v>19701010</v>
      </c>
      <c r="D584" s="15" t="s">
        <v>54</v>
      </c>
      <c r="E584" s="15" t="s">
        <v>728</v>
      </c>
      <c r="F584" s="19">
        <f>VLOOKUP( $A584, Sovereignty!$A$2:$L$510, 12, 0 )</f>
        <v>0</v>
      </c>
    </row>
    <row r="585" spans="1:6" x14ac:dyDescent="0.2">
      <c r="A585" s="15" t="s">
        <v>893</v>
      </c>
      <c r="B585" s="15">
        <v>19000417</v>
      </c>
      <c r="C585" s="15">
        <v>20261231</v>
      </c>
      <c r="D585" s="15" t="s">
        <v>759</v>
      </c>
      <c r="E585" s="15" t="s">
        <v>759</v>
      </c>
      <c r="F585" s="19">
        <f>VLOOKUP( $A585, Sovereignty!$A$2:$L$510, 12, 0 )</f>
        <v>0</v>
      </c>
    </row>
    <row r="586" spans="1:6" x14ac:dyDescent="0.2">
      <c r="A586" s="15" t="s">
        <v>721</v>
      </c>
      <c r="B586" s="15">
        <v>19970704</v>
      </c>
      <c r="C586" s="15">
        <v>20261231</v>
      </c>
      <c r="D586" s="15" t="s">
        <v>137</v>
      </c>
      <c r="E586" s="15" t="s">
        <v>137</v>
      </c>
      <c r="F586" s="19">
        <f>VLOOKUP( $A586, Sovereignty!$A$2:$L$510, 12, 0 )</f>
        <v>0</v>
      </c>
    </row>
    <row r="587" spans="1:6" x14ac:dyDescent="0.2">
      <c r="A587" s="15" t="s">
        <v>721</v>
      </c>
      <c r="B587" s="15">
        <v>19620101</v>
      </c>
      <c r="C587" s="15">
        <v>19970704</v>
      </c>
      <c r="D587" s="15" t="s">
        <v>137</v>
      </c>
      <c r="E587" s="15" t="s">
        <v>2317</v>
      </c>
      <c r="F587" s="19">
        <f>VLOOKUP( $A587, Sovereignty!$A$2:$L$510, 12, 0 )</f>
        <v>0</v>
      </c>
    </row>
    <row r="588" spans="1:6" x14ac:dyDescent="0.2">
      <c r="A588" s="15" t="s">
        <v>723</v>
      </c>
      <c r="B588" s="15">
        <v>19461213</v>
      </c>
      <c r="C588" s="15">
        <v>19620101</v>
      </c>
      <c r="D588" s="15" t="s">
        <v>722</v>
      </c>
      <c r="E588" s="15" t="s">
        <v>630</v>
      </c>
      <c r="F588" s="19">
        <f>VLOOKUP( $A588, Sovereignty!$A$2:$L$510, 12, 0 )</f>
        <v>0</v>
      </c>
    </row>
    <row r="589" spans="1:6" x14ac:dyDescent="0.2">
      <c r="A589" s="15" t="s">
        <v>723</v>
      </c>
      <c r="B589" s="15">
        <v>19201217</v>
      </c>
      <c r="C589" s="15">
        <v>19461213</v>
      </c>
      <c r="D589" s="15" t="s">
        <v>722</v>
      </c>
      <c r="E589" s="15" t="s">
        <v>2316</v>
      </c>
      <c r="F589" s="19">
        <f>VLOOKUP( $A589, Sovereignty!$A$2:$L$510, 12, 0 )</f>
        <v>0</v>
      </c>
    </row>
    <row r="590" spans="1:6" x14ac:dyDescent="0.2">
      <c r="A590" s="15" t="s">
        <v>723</v>
      </c>
      <c r="B590" s="15">
        <v>19140830</v>
      </c>
      <c r="C590" s="15">
        <v>19201217</v>
      </c>
      <c r="D590" s="15" t="s">
        <v>722</v>
      </c>
      <c r="E590" s="15" t="s">
        <v>2315</v>
      </c>
      <c r="F590" s="19">
        <f>VLOOKUP( $A590, Sovereignty!$A$2:$L$510, 12, 0 )</f>
        <v>0</v>
      </c>
    </row>
    <row r="591" spans="1:6" x14ac:dyDescent="0.2">
      <c r="A591" s="15" t="s">
        <v>724</v>
      </c>
      <c r="B591" s="15">
        <v>19000301</v>
      </c>
      <c r="C591" s="15">
        <v>19140830</v>
      </c>
      <c r="D591" s="15" t="s">
        <v>629</v>
      </c>
      <c r="E591" s="15" t="s">
        <v>629</v>
      </c>
      <c r="F591" s="19">
        <f>VLOOKUP( $A591, Sovereignty!$A$2:$L$510, 12, 0 )</f>
        <v>0</v>
      </c>
    </row>
    <row r="592" spans="1:6" x14ac:dyDescent="0.2">
      <c r="A592" s="15" t="s">
        <v>726</v>
      </c>
      <c r="B592" s="15">
        <v>19800730</v>
      </c>
      <c r="C592" s="15">
        <v>20261231</v>
      </c>
      <c r="D592" s="15" t="s">
        <v>176</v>
      </c>
      <c r="E592" s="15" t="s">
        <v>727</v>
      </c>
      <c r="F592" s="19">
        <f>VLOOKUP( $A592, Sovereignty!$A$2:$L$510, 12, 0 )</f>
        <v>0</v>
      </c>
    </row>
    <row r="593" spans="1:6" x14ac:dyDescent="0.2">
      <c r="A593" s="15" t="s">
        <v>2321</v>
      </c>
      <c r="B593" s="15">
        <v>19061020</v>
      </c>
      <c r="C593" s="15">
        <v>19800730</v>
      </c>
      <c r="D593" s="15" t="s">
        <v>725</v>
      </c>
      <c r="E593" s="15" t="s">
        <v>631</v>
      </c>
      <c r="F593" s="19">
        <f>VLOOKUP( $A593, Sovereignty!$A$2:$L$510, 12, 0 )</f>
        <v>0</v>
      </c>
    </row>
    <row r="594" spans="1:6" x14ac:dyDescent="0.2">
      <c r="A594" s="15" t="s">
        <v>735</v>
      </c>
      <c r="B594" s="15">
        <v>19680131</v>
      </c>
      <c r="C594" s="15">
        <v>20261231</v>
      </c>
      <c r="D594" s="15" t="s">
        <v>110</v>
      </c>
      <c r="E594" s="15" t="s">
        <v>736</v>
      </c>
      <c r="F594" s="19">
        <f>VLOOKUP( $A594, Sovereignty!$A$2:$L$510, 12, 0 )</f>
        <v>0</v>
      </c>
    </row>
    <row r="595" spans="1:6" x14ac:dyDescent="0.2">
      <c r="A595" s="15" t="s">
        <v>737</v>
      </c>
      <c r="B595" s="15">
        <v>19201217</v>
      </c>
      <c r="C595" s="15">
        <v>19680131</v>
      </c>
      <c r="D595" s="15" t="s">
        <v>110</v>
      </c>
      <c r="E595" s="15" t="s">
        <v>635</v>
      </c>
      <c r="F595" s="19">
        <f>VLOOKUP( $A595, Sovereignty!$A$2:$L$510, 12, 0 )</f>
        <v>0</v>
      </c>
    </row>
    <row r="596" spans="1:6" x14ac:dyDescent="0.2">
      <c r="A596" s="15" t="s">
        <v>2324</v>
      </c>
      <c r="B596" s="15">
        <v>18420909</v>
      </c>
      <c r="C596" s="15">
        <v>20261231</v>
      </c>
      <c r="D596" s="15" t="s">
        <v>771</v>
      </c>
      <c r="E596" s="15" t="s">
        <v>771</v>
      </c>
      <c r="F596" s="19">
        <f>VLOOKUP( $A596, Sovereignty!$A$2:$L$510, 12, 0 )</f>
        <v>0</v>
      </c>
    </row>
    <row r="597" spans="1:6" x14ac:dyDescent="0.2">
      <c r="A597" s="15" t="s">
        <v>693</v>
      </c>
      <c r="B597" s="15">
        <v>19790712</v>
      </c>
      <c r="C597" s="15">
        <v>20261231</v>
      </c>
      <c r="D597" s="15" t="s">
        <v>80</v>
      </c>
      <c r="E597" s="15" t="s">
        <v>694</v>
      </c>
      <c r="F597" s="19">
        <f>VLOOKUP( $A597, Sovereignty!$A$2:$L$510, 12, 0 )</f>
        <v>0</v>
      </c>
    </row>
    <row r="598" spans="1:6" x14ac:dyDescent="0.2">
      <c r="A598" s="15" t="s">
        <v>883</v>
      </c>
      <c r="B598" s="15">
        <v>18530924</v>
      </c>
      <c r="C598" s="15">
        <v>20261231</v>
      </c>
      <c r="D598" s="15" t="s">
        <v>772</v>
      </c>
      <c r="E598" s="15" t="s">
        <v>772</v>
      </c>
      <c r="F598" s="19">
        <f>VLOOKUP( $A598, Sovereignty!$A$2:$L$510, 12, 0 )</f>
        <v>0</v>
      </c>
    </row>
    <row r="599" spans="1:6" x14ac:dyDescent="0.2">
      <c r="A599" s="15" t="s">
        <v>692</v>
      </c>
      <c r="B599" s="15">
        <v>19760101</v>
      </c>
      <c r="C599" s="15">
        <v>19790712</v>
      </c>
      <c r="D599" s="15" t="s">
        <v>691</v>
      </c>
      <c r="E599" s="15" t="s">
        <v>690</v>
      </c>
      <c r="F599" s="19">
        <f>VLOOKUP( $A599, Sovereignty!$A$2:$L$510, 12, 0 )</f>
        <v>0</v>
      </c>
    </row>
    <row r="600" spans="1:6" x14ac:dyDescent="0.2">
      <c r="A600" s="15" t="s">
        <v>892</v>
      </c>
      <c r="B600" s="15">
        <v>19010611</v>
      </c>
      <c r="C600" s="15">
        <v>20261231</v>
      </c>
      <c r="D600" s="15" t="s">
        <v>779</v>
      </c>
      <c r="E600" s="15" t="s">
        <v>779</v>
      </c>
      <c r="F600" s="19">
        <f>VLOOKUP( $A600, Sovereignty!$A$2:$L$510, 12, 0 )</f>
        <v>0</v>
      </c>
    </row>
    <row r="601" spans="1:6" x14ac:dyDescent="0.2">
      <c r="A601" s="15" t="s">
        <v>689</v>
      </c>
      <c r="B601" s="15">
        <v>18950101</v>
      </c>
      <c r="C601" s="15">
        <v>19760101</v>
      </c>
      <c r="D601" s="15" t="s">
        <v>688</v>
      </c>
      <c r="E601" s="15" t="s">
        <v>625</v>
      </c>
      <c r="F601" s="19">
        <f>VLOOKUP( $A601, Sovereignty!$A$2:$L$510, 12, 0 )</f>
        <v>0</v>
      </c>
    </row>
    <row r="602" spans="1:6" x14ac:dyDescent="0.2">
      <c r="A602" s="15" t="s">
        <v>689</v>
      </c>
      <c r="B602" s="15">
        <v>18920101</v>
      </c>
      <c r="C602" s="15">
        <v>18950101</v>
      </c>
      <c r="D602" s="15" t="s">
        <v>688</v>
      </c>
      <c r="E602" s="15" t="s">
        <v>627</v>
      </c>
      <c r="F602" s="19">
        <f>VLOOKUP( $A602, Sovereignty!$A$2:$L$510, 12, 0 )</f>
        <v>0</v>
      </c>
    </row>
    <row r="603" spans="1:6" x14ac:dyDescent="0.2">
      <c r="A603" s="15" t="s">
        <v>712</v>
      </c>
      <c r="B603" s="15">
        <v>19861021</v>
      </c>
      <c r="C603" s="15">
        <v>20261231</v>
      </c>
      <c r="D603" s="15" t="s">
        <v>99</v>
      </c>
      <c r="E603" s="15" t="s">
        <v>697</v>
      </c>
      <c r="F603" s="19">
        <f>VLOOKUP( $A603, Sovereignty!$A$2:$L$510, 12, 0 )</f>
        <v>0</v>
      </c>
    </row>
    <row r="604" spans="1:6" x14ac:dyDescent="0.2">
      <c r="A604" s="15" t="s">
        <v>699</v>
      </c>
      <c r="B604" s="15">
        <v>19470718</v>
      </c>
      <c r="C604" s="15">
        <v>19941001</v>
      </c>
      <c r="D604" s="15" t="s">
        <v>622</v>
      </c>
      <c r="E604" s="15" t="s">
        <v>622</v>
      </c>
      <c r="F604" s="19">
        <f>VLOOKUP( $A604, Sovereignty!$A$2:$L$510, 12, 0 )</f>
        <v>0</v>
      </c>
    </row>
    <row r="605" spans="1:6" x14ac:dyDescent="0.2">
      <c r="A605" s="15" t="s">
        <v>2328</v>
      </c>
      <c r="B605" s="15">
        <v>19140929</v>
      </c>
      <c r="C605" s="15">
        <v>19470718</v>
      </c>
      <c r="D605" s="15" t="s">
        <v>620</v>
      </c>
      <c r="E605" s="15" t="s">
        <v>707</v>
      </c>
      <c r="F605" s="19">
        <f>VLOOKUP( $A605, Sovereignty!$A$2:$L$510, 12, 0 )</f>
        <v>0</v>
      </c>
    </row>
    <row r="606" spans="1:6" x14ac:dyDescent="0.2">
      <c r="A606" s="15" t="s">
        <v>702</v>
      </c>
      <c r="B606" s="15">
        <v>19780109</v>
      </c>
      <c r="C606" s="15">
        <v>20261231</v>
      </c>
      <c r="D606" s="15" t="s">
        <v>700</v>
      </c>
      <c r="E606" s="15" t="s">
        <v>701</v>
      </c>
      <c r="F606" s="19">
        <f>VLOOKUP( $A606, Sovereignty!$A$2:$L$510, 12, 0 )</f>
        <v>0</v>
      </c>
    </row>
    <row r="607" spans="1:6" x14ac:dyDescent="0.2">
      <c r="A607" s="15" t="s">
        <v>703</v>
      </c>
      <c r="B607" s="15">
        <v>18981210</v>
      </c>
      <c r="C607" s="15">
        <v>20261231</v>
      </c>
      <c r="D607" s="15" t="s">
        <v>704</v>
      </c>
      <c r="E607" s="15" t="s">
        <v>704</v>
      </c>
      <c r="F607" s="19">
        <f>VLOOKUP( $A607, Sovereignty!$A$2:$L$510, 12, 0 )</f>
        <v>0</v>
      </c>
    </row>
    <row r="608" spans="1:6" x14ac:dyDescent="0.2">
      <c r="A608" s="15" t="s">
        <v>713</v>
      </c>
      <c r="B608" s="15">
        <v>19861103</v>
      </c>
      <c r="C608" s="15">
        <v>20261231</v>
      </c>
      <c r="D608" s="15" t="s">
        <v>711</v>
      </c>
      <c r="E608" s="15" t="s">
        <v>268</v>
      </c>
      <c r="F608" s="19">
        <f>VLOOKUP( $A608, Sovereignty!$A$2:$L$510, 12, 0 )</f>
        <v>0</v>
      </c>
    </row>
    <row r="609" spans="1:6" x14ac:dyDescent="0.2">
      <c r="A609" s="15" t="s">
        <v>709</v>
      </c>
      <c r="B609" s="15">
        <v>19941001</v>
      </c>
      <c r="C609" s="15">
        <v>20261231</v>
      </c>
      <c r="D609" s="15" t="s">
        <v>121</v>
      </c>
      <c r="E609" s="15" t="s">
        <v>710</v>
      </c>
      <c r="F609" s="19">
        <f>VLOOKUP( $A609, Sovereignty!$A$2:$L$510, 12, 0 )</f>
        <v>0</v>
      </c>
    </row>
    <row r="610" spans="1:6" x14ac:dyDescent="0.2">
      <c r="A610" s="15" t="s">
        <v>1780</v>
      </c>
      <c r="B610" s="15">
        <v>15710101</v>
      </c>
      <c r="C610" s="15">
        <v>18981210</v>
      </c>
      <c r="D610" s="15" t="s">
        <v>706</v>
      </c>
      <c r="E610" s="15" t="s">
        <v>706</v>
      </c>
      <c r="F610" s="19">
        <f>VLOOKUP( $A610, Sovereignty!$A$2:$L$510, 12, 0 )</f>
        <v>0</v>
      </c>
    </row>
  </sheetData>
  <conditionalFormatting sqref="A2:E610">
    <cfRule type="expression" dxfId="5" priority="10" stopIfTrue="1">
      <formula>(_xlfn.ISFORMULA(A2))</formula>
    </cfRule>
  </conditionalFormatting>
  <conditionalFormatting sqref="A211:E211 F185:F219 A212:F610 A2:F210">
    <cfRule type="expression" dxfId="4" priority="7">
      <formula>($F2="x")</formula>
    </cfRule>
  </conditionalFormatting>
  <conditionalFormatting sqref="D45:E45">
    <cfRule type="expression" dxfId="3" priority="8" stopIfTrue="1">
      <formula>(_xlfn.ISFORMULA(D45))</formula>
    </cfRule>
  </conditionalFormatting>
  <hyperlinks>
    <hyperlink ref="A445" r:id="rId1" xr:uid="{F259D61E-0021-9945-9EBF-883C37917059}"/>
    <hyperlink ref="A444" r:id="rId2" xr:uid="{596EF701-B458-5C4F-A930-92A4E91F9C74}"/>
    <hyperlink ref="A443" r:id="rId3" xr:uid="{60C60D60-C9F5-5245-9EAE-CBBD60DB0B76}"/>
    <hyperlink ref="A442" r:id="rId4" xr:uid="{663A3A59-DF9C-6540-927E-D9088086F497}"/>
    <hyperlink ref="A440" r:id="rId5" xr:uid="{94628F3D-8828-2A48-8B3F-BA8BC7238949}"/>
    <hyperlink ref="A441" r:id="rId6" xr:uid="{9860BC01-9625-544D-9006-1E92B68EAD9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F8860-725B-5143-8BC1-1A2EE626FE64}">
  <sheetPr codeName="Sheet5"/>
  <dimension ref="A1:J549"/>
  <sheetViews>
    <sheetView showZeros="0" tabSelected="1" zoomScale="135" zoomScaleNormal="15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1" sqref="D11"/>
    </sheetView>
  </sheetViews>
  <sheetFormatPr baseColWidth="10" defaultRowHeight="16" x14ac:dyDescent="0.2"/>
  <cols>
    <col min="1" max="1" width="16.5" style="15" bestFit="1" customWidth="1"/>
    <col min="2" max="3" width="10.5" style="16" bestFit="1" customWidth="1"/>
    <col min="4" max="4" width="33.33203125" style="16" bestFit="1" customWidth="1"/>
    <col min="5" max="5" width="9.33203125" style="16" bestFit="1" customWidth="1"/>
    <col min="6" max="8" width="10.83203125" style="16"/>
    <col min="9" max="9" width="33.33203125" style="16" bestFit="1" customWidth="1"/>
    <col min="10" max="16384" width="10.83203125" style="16"/>
  </cols>
  <sheetData>
    <row r="1" spans="1:10" x14ac:dyDescent="0.2">
      <c r="A1" s="14" t="s">
        <v>666</v>
      </c>
      <c r="B1" s="16" t="s">
        <v>611</v>
      </c>
      <c r="C1" s="16" t="s">
        <v>612</v>
      </c>
      <c r="D1" s="16" t="s">
        <v>1252</v>
      </c>
      <c r="E1" s="18" t="s">
        <v>1257</v>
      </c>
      <c r="F1" s="39" t="s">
        <v>2419</v>
      </c>
      <c r="G1" s="39" t="s">
        <v>2417</v>
      </c>
      <c r="J1" s="39" t="s">
        <v>2430</v>
      </c>
    </row>
    <row r="2" spans="1:10" x14ac:dyDescent="0.2">
      <c r="A2" s="16" t="s">
        <v>781</v>
      </c>
      <c r="B2" s="15">
        <v>19770627</v>
      </c>
      <c r="C2" s="15">
        <v>20261231</v>
      </c>
      <c r="D2" s="16" t="s">
        <v>42</v>
      </c>
      <c r="E2" s="19" t="str">
        <f>VLOOKUP( $A2, Sovereignty!$A$2:$L$510, 12, 0 )</f>
        <v>x</v>
      </c>
      <c r="F2" s="40"/>
      <c r="G2" s="38"/>
    </row>
    <row r="3" spans="1:10" x14ac:dyDescent="0.2">
      <c r="A3" s="25" t="s">
        <v>1247</v>
      </c>
      <c r="B3" s="15">
        <v>18960520</v>
      </c>
      <c r="C3" s="15">
        <v>19770627</v>
      </c>
      <c r="D3" s="16" t="s">
        <v>42</v>
      </c>
      <c r="E3" s="19" t="str">
        <f>VLOOKUP( $A3, Sovereignty!$A$2:$L$510, 12, 0 )</f>
        <v>x</v>
      </c>
      <c r="F3" s="40"/>
      <c r="G3" s="38"/>
    </row>
    <row r="4" spans="1:10" x14ac:dyDescent="0.2">
      <c r="A4" s="16" t="s">
        <v>1247</v>
      </c>
      <c r="B4" s="15">
        <v>18620311</v>
      </c>
      <c r="C4" s="15">
        <v>18960520</v>
      </c>
      <c r="D4" s="16" t="s">
        <v>1251</v>
      </c>
      <c r="E4" s="19" t="str">
        <f>VLOOKUP( $A4, Sovereignty!$A$2:$L$510, 12, 0 )</f>
        <v>x</v>
      </c>
      <c r="F4" s="40"/>
      <c r="G4" s="38"/>
      <c r="I4" s="16" t="s">
        <v>2</v>
      </c>
      <c r="J4" s="42" t="s">
        <v>624</v>
      </c>
    </row>
    <row r="5" spans="1:10" x14ac:dyDescent="0.2">
      <c r="A5" s="15" t="s">
        <v>909</v>
      </c>
      <c r="B5" s="15">
        <v>19600701</v>
      </c>
      <c r="C5" s="15">
        <v>20261231</v>
      </c>
      <c r="D5" s="41" t="s">
        <v>2491</v>
      </c>
      <c r="E5" s="19" t="str">
        <f>VLOOKUP( $A5, Sovereignty!$A$2:$L$510, 12, 0 )</f>
        <v>x</v>
      </c>
      <c r="F5" s="40"/>
      <c r="G5" s="38"/>
      <c r="I5" s="16" t="s">
        <v>4</v>
      </c>
      <c r="J5" s="42" t="s">
        <v>624</v>
      </c>
    </row>
    <row r="6" spans="1:10" x14ac:dyDescent="0.2">
      <c r="A6" s="15" t="s">
        <v>909</v>
      </c>
      <c r="B6" s="15">
        <v>19600626</v>
      </c>
      <c r="C6" s="15">
        <v>19600701</v>
      </c>
      <c r="D6" s="44" t="s">
        <v>2451</v>
      </c>
      <c r="E6" s="19" t="str">
        <f>VLOOKUP( $A6, Sovereignty!$A$2:$L$510, 12, 0 )</f>
        <v>x</v>
      </c>
      <c r="F6" s="40"/>
      <c r="G6" s="38"/>
      <c r="I6" s="16" t="s">
        <v>2470</v>
      </c>
      <c r="J6" s="42" t="s">
        <v>624</v>
      </c>
    </row>
    <row r="7" spans="1:10" x14ac:dyDescent="0.2">
      <c r="A7" s="15" t="s">
        <v>1110</v>
      </c>
      <c r="B7" s="15">
        <v>18840101</v>
      </c>
      <c r="C7" s="15">
        <v>19600626</v>
      </c>
      <c r="D7" s="25" t="s">
        <v>2451</v>
      </c>
      <c r="E7" s="19" t="str">
        <f>VLOOKUP( $A7, Sovereignty!$A$2:$L$510, 12, 0 )</f>
        <v>x</v>
      </c>
      <c r="F7" s="40"/>
      <c r="G7" s="38"/>
      <c r="I7" s="16" t="s">
        <v>17</v>
      </c>
      <c r="J7" s="42" t="s">
        <v>624</v>
      </c>
    </row>
    <row r="8" spans="1:10" x14ac:dyDescent="0.2">
      <c r="A8" s="15" t="s">
        <v>1264</v>
      </c>
      <c r="B8" s="15">
        <v>19500401</v>
      </c>
      <c r="C8" s="15">
        <v>19600701</v>
      </c>
      <c r="D8" s="25" t="s">
        <v>2452</v>
      </c>
      <c r="E8" s="19" t="str">
        <f>VLOOKUP( $A8, Sovereignty!$A$2:$L$510, 12, 0 )</f>
        <v>x</v>
      </c>
      <c r="F8" s="40"/>
      <c r="G8" s="38"/>
      <c r="I8" s="16" t="s">
        <v>2463</v>
      </c>
      <c r="J8" s="45" t="s">
        <v>624</v>
      </c>
    </row>
    <row r="9" spans="1:10" x14ac:dyDescent="0.2">
      <c r="A9" s="15" t="s">
        <v>1109</v>
      </c>
      <c r="B9" s="15">
        <v>19411127</v>
      </c>
      <c r="C9" s="15">
        <v>19500401</v>
      </c>
      <c r="D9" s="25" t="s">
        <v>2452</v>
      </c>
      <c r="E9" s="19" t="str">
        <f>VLOOKUP( $A9, Sovereignty!$A$2:$L$510, 12, 0 )</f>
        <v>x</v>
      </c>
      <c r="F9" s="40"/>
      <c r="G9" s="38"/>
      <c r="I9" s="44" t="s">
        <v>2464</v>
      </c>
      <c r="J9" s="45" t="s">
        <v>624</v>
      </c>
    </row>
    <row r="10" spans="1:10" x14ac:dyDescent="0.2">
      <c r="A10" s="15" t="s">
        <v>1088</v>
      </c>
      <c r="B10" s="15">
        <v>19410225</v>
      </c>
      <c r="C10" s="15">
        <v>19411127</v>
      </c>
      <c r="D10" s="44" t="s">
        <v>1270</v>
      </c>
      <c r="E10" s="19" t="str">
        <f>VLOOKUP( $A10, Sovereignty!$A$2:$L$510, 12, 0 )</f>
        <v>x</v>
      </c>
      <c r="F10" s="40"/>
      <c r="G10" s="38"/>
      <c r="I10" s="16" t="s">
        <v>21</v>
      </c>
      <c r="J10" s="42" t="s">
        <v>624</v>
      </c>
    </row>
    <row r="11" spans="1:10" x14ac:dyDescent="0.2">
      <c r="A11" s="15" t="s">
        <v>1088</v>
      </c>
      <c r="B11" s="15">
        <v>19360601</v>
      </c>
      <c r="C11" s="15">
        <v>19410225</v>
      </c>
      <c r="D11" s="25" t="s">
        <v>2450</v>
      </c>
      <c r="E11" s="19" t="str">
        <f>VLOOKUP( $A11, Sovereignty!$A$2:$L$510, 12, 0 )</f>
        <v>x</v>
      </c>
      <c r="F11" s="40"/>
      <c r="G11" s="38"/>
      <c r="I11" s="16" t="s">
        <v>2489</v>
      </c>
      <c r="J11" s="42" t="s">
        <v>624</v>
      </c>
    </row>
    <row r="12" spans="1:10" x14ac:dyDescent="0.2">
      <c r="A12" s="15" t="s">
        <v>1088</v>
      </c>
      <c r="B12" s="15">
        <v>19360509</v>
      </c>
      <c r="C12" s="15">
        <v>19360601</v>
      </c>
      <c r="D12" s="44" t="s">
        <v>53</v>
      </c>
      <c r="E12" s="19" t="str">
        <f>VLOOKUP( $A12, Sovereignty!$A$2:$L$510, 12, 0 )</f>
        <v>x</v>
      </c>
      <c r="F12" s="40"/>
      <c r="G12" s="38"/>
      <c r="I12" s="16" t="s">
        <v>2451</v>
      </c>
      <c r="J12" s="42" t="s">
        <v>624</v>
      </c>
    </row>
    <row r="13" spans="1:10" x14ac:dyDescent="0.2">
      <c r="A13" s="15" t="s">
        <v>1102</v>
      </c>
      <c r="B13" s="15">
        <v>18890208</v>
      </c>
      <c r="C13" s="15">
        <v>19360601</v>
      </c>
      <c r="D13" s="25" t="s">
        <v>2452</v>
      </c>
      <c r="E13" s="19" t="str">
        <f>VLOOKUP( $A13, Sovereignty!$A$2:$L$510, 12, 0 )</f>
        <v>x</v>
      </c>
      <c r="F13" s="40"/>
      <c r="G13" s="38"/>
      <c r="I13" s="16" t="s">
        <v>2491</v>
      </c>
      <c r="J13" s="42" t="s">
        <v>624</v>
      </c>
    </row>
    <row r="14" spans="1:10" x14ac:dyDescent="0.2">
      <c r="A14" s="15" t="s">
        <v>1082</v>
      </c>
      <c r="B14" s="15">
        <v>19930524</v>
      </c>
      <c r="C14" s="15">
        <v>20261231</v>
      </c>
      <c r="D14" s="21" t="s">
        <v>50</v>
      </c>
      <c r="E14" s="19" t="str">
        <f>VLOOKUP( $A14, Sovereignty!$A$2:$L$510, 12, 0 )</f>
        <v>x</v>
      </c>
      <c r="F14" s="40"/>
      <c r="G14" s="38"/>
      <c r="I14" s="16" t="s">
        <v>1326</v>
      </c>
      <c r="J14" s="42" t="s">
        <v>624</v>
      </c>
    </row>
    <row r="15" spans="1:10" x14ac:dyDescent="0.2">
      <c r="A15" s="15" t="s">
        <v>2449</v>
      </c>
      <c r="B15" s="15">
        <v>19520915</v>
      </c>
      <c r="C15" s="15">
        <v>19621114</v>
      </c>
      <c r="D15" s="21" t="s">
        <v>50</v>
      </c>
      <c r="E15" s="19" t="str">
        <f>VLOOKUP( $A15, Sovereignty!$A$2:$L$510, 12, 0 )</f>
        <v>x</v>
      </c>
      <c r="F15" s="40"/>
      <c r="G15" s="38"/>
      <c r="I15" s="16" t="s">
        <v>26</v>
      </c>
      <c r="J15" s="42" t="s">
        <v>624</v>
      </c>
    </row>
    <row r="16" spans="1:10" x14ac:dyDescent="0.2">
      <c r="A16" s="15" t="s">
        <v>1094</v>
      </c>
      <c r="B16" s="15">
        <v>19621114</v>
      </c>
      <c r="C16" s="15">
        <v>19930524</v>
      </c>
      <c r="D16" s="21" t="s">
        <v>1270</v>
      </c>
      <c r="E16" s="19" t="str">
        <f>VLOOKUP( $A16, Sovereignty!$A$2:$L$510, 12, 0 )</f>
        <v>x</v>
      </c>
      <c r="F16" s="40"/>
      <c r="G16" s="38"/>
      <c r="I16" s="16" t="s">
        <v>28</v>
      </c>
      <c r="J16" s="42" t="s">
        <v>624</v>
      </c>
    </row>
    <row r="17" spans="1:10" x14ac:dyDescent="0.2">
      <c r="A17" s="15" t="s">
        <v>1089</v>
      </c>
      <c r="B17" s="15">
        <v>19411127</v>
      </c>
      <c r="C17" s="15">
        <v>19520915</v>
      </c>
      <c r="D17" s="21" t="s">
        <v>50</v>
      </c>
      <c r="E17" s="19" t="str">
        <f>VLOOKUP( $A17, Sovereignty!$A$2:$L$510, 12, 0 )</f>
        <v>x</v>
      </c>
      <c r="F17" s="40"/>
      <c r="G17" s="38"/>
      <c r="I17" s="16" t="s">
        <v>2488</v>
      </c>
      <c r="J17" s="42" t="s">
        <v>624</v>
      </c>
    </row>
    <row r="18" spans="1:10" x14ac:dyDescent="0.2">
      <c r="A18" s="15" t="s">
        <v>1087</v>
      </c>
      <c r="B18" s="15">
        <v>18820705</v>
      </c>
      <c r="C18" s="15">
        <v>19360601</v>
      </c>
      <c r="D18" s="21" t="s">
        <v>50</v>
      </c>
      <c r="E18" s="19" t="str">
        <f>VLOOKUP( $A18, Sovereignty!$A$2:$L$510, 12, 0 )</f>
        <v>x</v>
      </c>
      <c r="F18" s="40"/>
      <c r="G18" s="38"/>
      <c r="I18" s="16" t="s">
        <v>1291</v>
      </c>
      <c r="J18" s="42" t="s">
        <v>624</v>
      </c>
    </row>
    <row r="19" spans="1:10" x14ac:dyDescent="0.2">
      <c r="A19" s="15" t="s">
        <v>1094</v>
      </c>
      <c r="B19" s="15">
        <v>19930524</v>
      </c>
      <c r="C19" s="15">
        <v>20261231</v>
      </c>
      <c r="D19" s="21" t="s">
        <v>53</v>
      </c>
      <c r="E19" s="19" t="str">
        <f>VLOOKUP( $A19, Sovereignty!$A$2:$L$510, 12, 0 )</f>
        <v>x</v>
      </c>
      <c r="F19" s="40"/>
      <c r="G19" s="38"/>
      <c r="I19" s="16" t="s">
        <v>2453</v>
      </c>
      <c r="J19" s="42" t="s">
        <v>624</v>
      </c>
    </row>
    <row r="20" spans="1:10" x14ac:dyDescent="0.2">
      <c r="A20" s="15" t="s">
        <v>1094</v>
      </c>
      <c r="B20" s="15">
        <v>19411127</v>
      </c>
      <c r="C20" s="15">
        <v>19621114</v>
      </c>
      <c r="D20" s="21" t="s">
        <v>53</v>
      </c>
      <c r="E20" s="19" t="str">
        <f>VLOOKUP( $A20, Sovereignty!$A$2:$L$510, 12, 0 )</f>
        <v>x</v>
      </c>
      <c r="F20" s="40"/>
      <c r="G20" s="38"/>
      <c r="I20" s="16" t="s">
        <v>31</v>
      </c>
      <c r="J20" s="42" t="s">
        <v>624</v>
      </c>
    </row>
    <row r="21" spans="1:10" x14ac:dyDescent="0.2">
      <c r="A21" s="15" t="s">
        <v>1095</v>
      </c>
      <c r="B21" s="15">
        <v>18820705</v>
      </c>
      <c r="C21" s="15">
        <v>19360509</v>
      </c>
      <c r="D21" s="25" t="s">
        <v>53</v>
      </c>
      <c r="E21" s="19" t="str">
        <f>VLOOKUP( $A21, Sovereignty!$A$2:$L$510, 12, 0 )</f>
        <v>x</v>
      </c>
      <c r="F21" s="40"/>
      <c r="G21" s="38"/>
      <c r="I21" s="16" t="s">
        <v>35</v>
      </c>
      <c r="J21" s="42" t="s">
        <v>624</v>
      </c>
    </row>
    <row r="22" spans="1:10" x14ac:dyDescent="0.2">
      <c r="A22" s="15" t="s">
        <v>1095</v>
      </c>
      <c r="B22" s="15">
        <v>18550211</v>
      </c>
      <c r="C22" s="15">
        <v>18820705</v>
      </c>
      <c r="D22" s="25" t="s">
        <v>1270</v>
      </c>
      <c r="E22" s="19" t="str">
        <f>VLOOKUP( $A22, Sovereignty!$A$2:$L$510, 12, 0 )</f>
        <v>x</v>
      </c>
      <c r="F22" s="40"/>
      <c r="G22" s="38"/>
      <c r="I22" s="16" t="s">
        <v>2455</v>
      </c>
      <c r="J22" s="42" t="s">
        <v>624</v>
      </c>
    </row>
    <row r="23" spans="1:10" x14ac:dyDescent="0.2">
      <c r="A23" s="15" t="s">
        <v>898</v>
      </c>
      <c r="B23" s="15">
        <v>19600815</v>
      </c>
      <c r="C23" s="15">
        <v>20261231</v>
      </c>
      <c r="D23" s="25" t="s">
        <v>2455</v>
      </c>
      <c r="E23" s="19" t="str">
        <f>VLOOKUP( $A23, Sovereignty!$A$2:$L$510, 12, 0 )</f>
        <v>x</v>
      </c>
      <c r="F23" s="40"/>
      <c r="G23" s="38"/>
      <c r="I23" s="16" t="s">
        <v>2454</v>
      </c>
      <c r="J23" s="45" t="s">
        <v>624</v>
      </c>
    </row>
    <row r="24" spans="1:10" x14ac:dyDescent="0.2">
      <c r="A24" s="15" t="s">
        <v>899</v>
      </c>
      <c r="B24" s="15">
        <v>19581128</v>
      </c>
      <c r="C24" s="15">
        <v>19600815</v>
      </c>
      <c r="D24" s="25" t="s">
        <v>2455</v>
      </c>
      <c r="E24" s="19" t="str">
        <f>VLOOKUP( $A24, Sovereignty!$A$2:$L$510, 12, 0 )</f>
        <v>x</v>
      </c>
      <c r="F24" s="40"/>
      <c r="G24" s="38"/>
      <c r="I24" s="16" t="s">
        <v>2456</v>
      </c>
      <c r="J24" s="42" t="s">
        <v>624</v>
      </c>
    </row>
    <row r="25" spans="1:10" x14ac:dyDescent="0.2">
      <c r="A25" s="15" t="s">
        <v>895</v>
      </c>
      <c r="B25" s="15">
        <v>19100115</v>
      </c>
      <c r="C25" s="15">
        <v>19581128</v>
      </c>
      <c r="D25" s="25" t="s">
        <v>2454</v>
      </c>
      <c r="E25" s="19" t="str">
        <f>VLOOKUP( $A25, Sovereignty!$A$2:$L$510, 12, 0 )</f>
        <v>x</v>
      </c>
      <c r="F25" s="40"/>
      <c r="G25" s="38"/>
      <c r="I25" s="16" t="s">
        <v>1484</v>
      </c>
      <c r="J25" s="42" t="s">
        <v>624</v>
      </c>
    </row>
    <row r="26" spans="1:10" x14ac:dyDescent="0.2">
      <c r="A26" s="15" t="s">
        <v>900</v>
      </c>
      <c r="B26" s="15">
        <v>18821130</v>
      </c>
      <c r="C26" s="15">
        <v>19100115</v>
      </c>
      <c r="D26" s="25" t="s">
        <v>2455</v>
      </c>
      <c r="E26" s="19" t="str">
        <f>VLOOKUP( $A26, Sovereignty!$A$2:$L$510, 12, 0 )</f>
        <v>x</v>
      </c>
      <c r="F26" s="40"/>
      <c r="G26" s="38"/>
      <c r="I26" s="16" t="s">
        <v>42</v>
      </c>
      <c r="J26" s="42" t="s">
        <v>624</v>
      </c>
    </row>
    <row r="27" spans="1:10" x14ac:dyDescent="0.2">
      <c r="A27" s="15" t="s">
        <v>1042</v>
      </c>
      <c r="B27" s="15">
        <v>19600817</v>
      </c>
      <c r="C27" s="15">
        <v>20261231</v>
      </c>
      <c r="D27" s="21" t="s">
        <v>56</v>
      </c>
      <c r="E27" s="19" t="str">
        <f>VLOOKUP( $A27, Sovereignty!$A$2:$L$510, 12, 0 )</f>
        <v>x</v>
      </c>
      <c r="F27" s="40"/>
      <c r="G27" s="38"/>
      <c r="I27" s="16" t="s">
        <v>47</v>
      </c>
      <c r="J27" s="42" t="s">
        <v>624</v>
      </c>
    </row>
    <row r="28" spans="1:10" x14ac:dyDescent="0.2">
      <c r="A28" s="15" t="s">
        <v>1043</v>
      </c>
      <c r="B28" s="15">
        <v>19581128</v>
      </c>
      <c r="C28" s="15">
        <v>19600817</v>
      </c>
      <c r="D28" s="21" t="s">
        <v>56</v>
      </c>
      <c r="E28" s="19" t="str">
        <f>VLOOKUP( $A28, Sovereignty!$A$2:$L$510, 12, 0 )</f>
        <v>x</v>
      </c>
      <c r="F28" s="40"/>
      <c r="G28" s="38"/>
      <c r="I28" s="16" t="s">
        <v>2481</v>
      </c>
      <c r="J28" s="42" t="s">
        <v>624</v>
      </c>
    </row>
    <row r="29" spans="1:10" x14ac:dyDescent="0.2">
      <c r="A29" s="15" t="s">
        <v>1045</v>
      </c>
      <c r="B29" s="15">
        <v>18850101</v>
      </c>
      <c r="C29" s="15">
        <v>19100115</v>
      </c>
      <c r="D29" s="21" t="s">
        <v>56</v>
      </c>
      <c r="E29" s="19" t="str">
        <f>VLOOKUP( $A29, Sovereignty!$A$2:$L$510, 12, 0 )</f>
        <v>x</v>
      </c>
      <c r="F29" s="40"/>
      <c r="G29" s="38"/>
      <c r="I29" s="16" t="s">
        <v>1353</v>
      </c>
      <c r="J29" s="42" t="s">
        <v>624</v>
      </c>
    </row>
    <row r="30" spans="1:10" x14ac:dyDescent="0.2">
      <c r="A30" s="15" t="s">
        <v>1280</v>
      </c>
      <c r="B30" s="15">
        <v>19600813</v>
      </c>
      <c r="C30" s="15">
        <v>20261231</v>
      </c>
      <c r="D30" s="25" t="s">
        <v>2453</v>
      </c>
      <c r="E30" s="19" t="str">
        <f>VLOOKUP( $A30, Sovereignty!$A$2:$L$510, 12, 0 )</f>
        <v>x</v>
      </c>
      <c r="F30" s="40"/>
      <c r="G30" s="38"/>
      <c r="I30" s="16" t="s">
        <v>50</v>
      </c>
      <c r="J30" s="42" t="s">
        <v>624</v>
      </c>
    </row>
    <row r="31" spans="1:10" x14ac:dyDescent="0.2">
      <c r="A31" s="15" t="s">
        <v>1165</v>
      </c>
      <c r="B31" s="15">
        <v>19581201</v>
      </c>
      <c r="C31" s="15">
        <v>19600813</v>
      </c>
      <c r="D31" s="25" t="s">
        <v>2453</v>
      </c>
      <c r="E31" s="19" t="str">
        <f>VLOOKUP( $A31, Sovereignty!$A$2:$L$510, 12, 0 )</f>
        <v>x</v>
      </c>
      <c r="F31" s="40"/>
      <c r="G31" s="38"/>
      <c r="I31" s="16" t="s">
        <v>52</v>
      </c>
      <c r="J31" s="42" t="s">
        <v>624</v>
      </c>
    </row>
    <row r="32" spans="1:10" x14ac:dyDescent="0.2">
      <c r="A32" s="15" t="s">
        <v>1164</v>
      </c>
      <c r="B32" s="15">
        <v>19031229</v>
      </c>
      <c r="C32" s="15">
        <v>19100115</v>
      </c>
      <c r="D32" s="25" t="s">
        <v>2453</v>
      </c>
      <c r="E32" s="19" t="str">
        <f>VLOOKUP( $A32, Sovereignty!$A$2:$L$510, 12, 0 )</f>
        <v>x</v>
      </c>
      <c r="F32" s="40"/>
      <c r="G32" s="38"/>
      <c r="I32" s="16" t="s">
        <v>53</v>
      </c>
      <c r="J32" s="42" t="s">
        <v>624</v>
      </c>
    </row>
    <row r="33" spans="1:10" x14ac:dyDescent="0.2">
      <c r="A33" s="15" t="s">
        <v>925</v>
      </c>
      <c r="B33" s="15">
        <v>19600811</v>
      </c>
      <c r="C33" s="15">
        <v>20261231</v>
      </c>
      <c r="D33" s="21" t="s">
        <v>31</v>
      </c>
      <c r="E33" s="19" t="str">
        <f>VLOOKUP( $A33, Sovereignty!$A$2:$L$510, 12, 0 )</f>
        <v>x</v>
      </c>
      <c r="F33" s="40"/>
      <c r="G33" s="38"/>
      <c r="I33" s="16" t="s">
        <v>1270</v>
      </c>
      <c r="J33" s="42" t="s">
        <v>624</v>
      </c>
    </row>
    <row r="34" spans="1:10" x14ac:dyDescent="0.2">
      <c r="A34" s="15" t="s">
        <v>1285</v>
      </c>
      <c r="B34" s="15">
        <v>19000905</v>
      </c>
      <c r="C34" s="15">
        <v>19100115</v>
      </c>
      <c r="D34" s="21" t="s">
        <v>31</v>
      </c>
      <c r="E34" s="19" t="str">
        <f>VLOOKUP( $A34, Sovereignty!$A$2:$L$510, 12, 0 )</f>
        <v>x</v>
      </c>
      <c r="F34" s="40"/>
      <c r="G34" s="38"/>
      <c r="I34" s="16" t="s">
        <v>2450</v>
      </c>
      <c r="J34" s="42" t="s">
        <v>624</v>
      </c>
    </row>
    <row r="35" spans="1:10" x14ac:dyDescent="0.2">
      <c r="A35" s="15" t="s">
        <v>1346</v>
      </c>
      <c r="B35" s="15">
        <v>19581128</v>
      </c>
      <c r="C35" s="15">
        <v>19600811</v>
      </c>
      <c r="D35" s="21" t="s">
        <v>31</v>
      </c>
      <c r="E35" s="19" t="str">
        <f>VLOOKUP( $A35, Sovereignty!$A$2:$L$510, 12, 0 )</f>
        <v>x</v>
      </c>
      <c r="F35" s="40"/>
      <c r="G35" s="38"/>
      <c r="I35" s="16" t="s">
        <v>2484</v>
      </c>
      <c r="J35" s="42" t="s">
        <v>624</v>
      </c>
    </row>
    <row r="36" spans="1:10" x14ac:dyDescent="0.2">
      <c r="A36" s="15" t="s">
        <v>901</v>
      </c>
      <c r="B36" s="15">
        <v>19750705</v>
      </c>
      <c r="C36" s="15">
        <v>20261231</v>
      </c>
      <c r="D36" s="21" t="s">
        <v>1291</v>
      </c>
      <c r="E36" s="19" t="str">
        <f>VLOOKUP( $A36, Sovereignty!$A$2:$L$510, 12, 0 )</f>
        <v>x</v>
      </c>
      <c r="F36" s="40"/>
      <c r="G36" s="38"/>
      <c r="I36" s="16" t="s">
        <v>2490</v>
      </c>
      <c r="J36" s="42" t="s">
        <v>624</v>
      </c>
    </row>
    <row r="37" spans="1:10" x14ac:dyDescent="0.2">
      <c r="A37" s="15" t="s">
        <v>1022</v>
      </c>
      <c r="B37" s="15">
        <v>14620101</v>
      </c>
      <c r="C37" s="15">
        <v>19750705</v>
      </c>
      <c r="D37" s="21" t="s">
        <v>1291</v>
      </c>
      <c r="E37" s="19" t="str">
        <f>VLOOKUP( $A37, Sovereignty!$A$2:$L$510, 12, 0 )</f>
        <v>x</v>
      </c>
      <c r="F37" s="40"/>
      <c r="G37" s="38"/>
      <c r="I37" s="16" t="s">
        <v>56</v>
      </c>
      <c r="J37" s="42" t="s">
        <v>624</v>
      </c>
    </row>
    <row r="38" spans="1:10" x14ac:dyDescent="0.2">
      <c r="A38" s="15" t="s">
        <v>903</v>
      </c>
      <c r="B38" s="15">
        <v>19601128</v>
      </c>
      <c r="C38" s="15">
        <v>20261231</v>
      </c>
      <c r="D38" s="21" t="s">
        <v>100</v>
      </c>
      <c r="E38" s="19">
        <f>VLOOKUP( $A38, Sovereignty!$A$2:$L$510, 12, 0 )</f>
        <v>0</v>
      </c>
      <c r="F38" s="40"/>
      <c r="G38" s="38"/>
      <c r="I38" s="16" t="s">
        <v>62</v>
      </c>
      <c r="J38" s="42" t="s">
        <v>624</v>
      </c>
    </row>
    <row r="39" spans="1:10" x14ac:dyDescent="0.2">
      <c r="A39" s="15" t="s">
        <v>1028</v>
      </c>
      <c r="B39" s="15">
        <v>19581128</v>
      </c>
      <c r="C39" s="15">
        <v>19601128</v>
      </c>
      <c r="D39" s="21" t="s">
        <v>100</v>
      </c>
      <c r="E39" s="19">
        <f>VLOOKUP( $A39, Sovereignty!$A$2:$L$510, 12, 0 )</f>
        <v>0</v>
      </c>
      <c r="F39" s="40"/>
      <c r="G39" s="38"/>
      <c r="I39" s="16" t="s">
        <v>1304</v>
      </c>
      <c r="J39" s="42" t="s">
        <v>624</v>
      </c>
    </row>
    <row r="40" spans="1:10" x14ac:dyDescent="0.2">
      <c r="A40" s="15" t="s">
        <v>1030</v>
      </c>
      <c r="B40" s="15">
        <v>19581211</v>
      </c>
      <c r="C40" s="15">
        <v>19581218</v>
      </c>
      <c r="D40" s="25" t="s">
        <v>115</v>
      </c>
      <c r="E40" s="19">
        <f>VLOOKUP( $A40, Sovereignty!$A$2:$L$510, 12, 0 )</f>
        <v>0</v>
      </c>
      <c r="F40" s="40"/>
      <c r="G40" s="38"/>
      <c r="I40" s="16" t="s">
        <v>2452</v>
      </c>
      <c r="J40" s="42" t="s">
        <v>624</v>
      </c>
    </row>
    <row r="41" spans="1:10" x14ac:dyDescent="0.2">
      <c r="A41" s="15" t="s">
        <v>1030</v>
      </c>
      <c r="B41" s="15">
        <v>19581204</v>
      </c>
      <c r="C41" s="15">
        <v>19581211</v>
      </c>
      <c r="D41" s="25" t="s">
        <v>2465</v>
      </c>
      <c r="E41" s="19">
        <f>VLOOKUP( $A41, Sovereignty!$A$2:$L$510, 12, 0 )</f>
        <v>0</v>
      </c>
      <c r="F41" s="40"/>
      <c r="G41" s="38"/>
      <c r="I41" s="16" t="s">
        <v>1311</v>
      </c>
      <c r="J41" s="42" t="s">
        <v>624</v>
      </c>
    </row>
    <row r="42" spans="1:10" x14ac:dyDescent="0.2">
      <c r="A42" s="15" t="s">
        <v>1030</v>
      </c>
      <c r="B42" s="15">
        <v>19581128</v>
      </c>
      <c r="C42" s="15">
        <v>19581204</v>
      </c>
      <c r="D42" s="25" t="s">
        <v>2464</v>
      </c>
      <c r="E42" s="19">
        <f>VLOOKUP( $A42, Sovereignty!$A$2:$L$510, 12, 0 )</f>
        <v>0</v>
      </c>
      <c r="F42" s="40"/>
      <c r="G42" s="38"/>
      <c r="I42" s="16" t="s">
        <v>79</v>
      </c>
      <c r="J42" s="42" t="s">
        <v>624</v>
      </c>
    </row>
    <row r="43" spans="1:10" x14ac:dyDescent="0.2">
      <c r="A43" s="15" t="s">
        <v>1030</v>
      </c>
      <c r="B43" s="15">
        <v>19581125</v>
      </c>
      <c r="C43" s="15">
        <v>19581128</v>
      </c>
      <c r="D43" s="25" t="s">
        <v>2463</v>
      </c>
      <c r="E43" s="19">
        <f>VLOOKUP( $A43, Sovereignty!$A$2:$L$510, 12, 0 )</f>
        <v>0</v>
      </c>
      <c r="F43" s="40"/>
      <c r="G43" s="38"/>
      <c r="I43" s="16" t="s">
        <v>87</v>
      </c>
      <c r="J43" s="42" t="s">
        <v>624</v>
      </c>
    </row>
    <row r="44" spans="1:10" x14ac:dyDescent="0.2">
      <c r="A44" s="15" t="s">
        <v>1030</v>
      </c>
      <c r="B44" s="15">
        <v>19581124</v>
      </c>
      <c r="C44" s="15">
        <v>19581125</v>
      </c>
      <c r="D44" s="25" t="s">
        <v>2462</v>
      </c>
      <c r="E44" s="19">
        <f>VLOOKUP( $A44, Sovereignty!$A$2:$L$510, 12, 0 )</f>
        <v>0</v>
      </c>
      <c r="F44" s="40"/>
      <c r="G44" s="38"/>
      <c r="I44" s="16" t="s">
        <v>88</v>
      </c>
      <c r="J44" s="42" t="s">
        <v>624</v>
      </c>
    </row>
    <row r="45" spans="1:10" x14ac:dyDescent="0.2">
      <c r="A45" s="15" t="s">
        <v>1030</v>
      </c>
      <c r="B45" s="15">
        <v>19581002</v>
      </c>
      <c r="C45" s="15">
        <v>19581124</v>
      </c>
      <c r="D45" s="25" t="s">
        <v>2461</v>
      </c>
      <c r="E45" s="19">
        <f>VLOOKUP( $A45, Sovereignty!$A$2:$L$510, 12, 0 )</f>
        <v>0</v>
      </c>
      <c r="F45" s="40"/>
      <c r="G45" s="38"/>
      <c r="I45" s="16" t="s">
        <v>89</v>
      </c>
      <c r="J45" s="42" t="s">
        <v>624</v>
      </c>
    </row>
    <row r="46" spans="1:10" x14ac:dyDescent="0.2">
      <c r="A46" s="15" t="s">
        <v>1030</v>
      </c>
      <c r="B46" s="15">
        <v>19190301</v>
      </c>
      <c r="C46" s="15">
        <v>19581002</v>
      </c>
      <c r="D46" s="25" t="s">
        <v>2460</v>
      </c>
      <c r="E46" s="19">
        <f>VLOOKUP( $A46, Sovereignty!$A$2:$L$510, 12, 0 )</f>
        <v>0</v>
      </c>
      <c r="F46" s="40"/>
      <c r="G46" s="38"/>
      <c r="I46" s="16" t="s">
        <v>93</v>
      </c>
      <c r="J46" s="42" t="s">
        <v>624</v>
      </c>
    </row>
    <row r="47" spans="1:10" x14ac:dyDescent="0.2">
      <c r="A47" s="15" t="s">
        <v>1030</v>
      </c>
      <c r="B47" s="15">
        <v>19041016</v>
      </c>
      <c r="C47" s="15">
        <v>19190301</v>
      </c>
      <c r="D47" s="25" t="s">
        <v>2459</v>
      </c>
      <c r="E47" s="19">
        <f>VLOOKUP( $A47, Sovereignty!$A$2:$L$510, 12, 0 )</f>
        <v>0</v>
      </c>
      <c r="F47" s="40"/>
      <c r="G47" s="38"/>
      <c r="I47" s="16" t="s">
        <v>94</v>
      </c>
      <c r="J47" s="42" t="s">
        <v>624</v>
      </c>
    </row>
    <row r="48" spans="1:10" x14ac:dyDescent="0.2">
      <c r="A48" s="15" t="s">
        <v>1030</v>
      </c>
      <c r="B48" s="15">
        <v>18951027</v>
      </c>
      <c r="C48" s="15">
        <v>19041016</v>
      </c>
      <c r="D48" s="25" t="s">
        <v>2458</v>
      </c>
      <c r="E48" s="19">
        <f>VLOOKUP( $A48, Sovereignty!$A$2:$L$510, 12, 0 )</f>
        <v>0</v>
      </c>
      <c r="F48" s="40"/>
      <c r="G48" s="38"/>
      <c r="I48" s="16" t="s">
        <v>97</v>
      </c>
      <c r="J48" s="42" t="s">
        <v>624</v>
      </c>
    </row>
    <row r="49" spans="1:10" x14ac:dyDescent="0.2">
      <c r="A49" s="15" t="s">
        <v>1070</v>
      </c>
      <c r="B49" s="15">
        <v>19600620</v>
      </c>
      <c r="C49" s="15">
        <v>19600820</v>
      </c>
      <c r="D49" s="25" t="s">
        <v>2466</v>
      </c>
      <c r="E49" s="19">
        <f>VLOOKUP( $A49, Sovereignty!$A$2:$L$510, 12, 0 )</f>
        <v>0</v>
      </c>
      <c r="F49" s="40"/>
      <c r="G49" s="38"/>
      <c r="I49" s="16" t="s">
        <v>2466</v>
      </c>
      <c r="J49" s="45" t="s">
        <v>624</v>
      </c>
    </row>
    <row r="50" spans="1:10" x14ac:dyDescent="0.2">
      <c r="A50" s="15" t="s">
        <v>923</v>
      </c>
      <c r="B50" s="15">
        <v>19600820</v>
      </c>
      <c r="C50" s="15">
        <v>20261231</v>
      </c>
      <c r="D50" s="21" t="s">
        <v>141</v>
      </c>
      <c r="E50" s="19">
        <f>VLOOKUP( $A50, Sovereignty!$A$2:$L$510, 12, 0 )</f>
        <v>0</v>
      </c>
      <c r="F50" s="40"/>
      <c r="G50" s="38"/>
      <c r="I50" s="16" t="s">
        <v>100</v>
      </c>
      <c r="J50" s="42" t="s">
        <v>624</v>
      </c>
    </row>
    <row r="51" spans="1:10" x14ac:dyDescent="0.2">
      <c r="A51" s="15" t="s">
        <v>1187</v>
      </c>
      <c r="B51" s="15">
        <v>19581125</v>
      </c>
      <c r="C51" s="15">
        <v>19600620</v>
      </c>
      <c r="D51" s="21" t="s">
        <v>141</v>
      </c>
      <c r="E51" s="19">
        <f>VLOOKUP( $A51, Sovereignty!$A$2:$L$510, 12, 0 )</f>
        <v>0</v>
      </c>
      <c r="F51" s="40"/>
      <c r="G51" s="38"/>
      <c r="I51" s="16" t="s">
        <v>101</v>
      </c>
      <c r="J51" s="42" t="s">
        <v>624</v>
      </c>
    </row>
    <row r="52" spans="1:10" x14ac:dyDescent="0.2">
      <c r="A52" s="15" t="s">
        <v>934</v>
      </c>
      <c r="B52" s="15">
        <v>19650218</v>
      </c>
      <c r="C52" s="15">
        <v>20261231</v>
      </c>
      <c r="D52" s="21" t="s">
        <v>1298</v>
      </c>
      <c r="E52" s="19">
        <f>VLOOKUP( $A52, Sovereignty!$A$2:$L$510, 12, 0 )</f>
        <v>0</v>
      </c>
      <c r="F52" s="40"/>
      <c r="G52" s="38"/>
      <c r="I52" s="16" t="s">
        <v>774</v>
      </c>
      <c r="J52" s="42" t="s">
        <v>624</v>
      </c>
    </row>
    <row r="53" spans="1:10" x14ac:dyDescent="0.2">
      <c r="A53" s="15" t="s">
        <v>1194</v>
      </c>
      <c r="B53" s="15">
        <v>18161017</v>
      </c>
      <c r="C53" s="15">
        <v>19650218</v>
      </c>
      <c r="D53" s="21" t="s">
        <v>1298</v>
      </c>
      <c r="E53" s="19">
        <f>VLOOKUP( $A53, Sovereignty!$A$2:$L$510, 12, 0 )</f>
        <v>0</v>
      </c>
      <c r="F53" s="40"/>
      <c r="G53" s="38"/>
      <c r="I53" s="16" t="s">
        <v>107</v>
      </c>
      <c r="J53" s="42" t="s">
        <v>624</v>
      </c>
    </row>
    <row r="54" spans="1:10" x14ac:dyDescent="0.2">
      <c r="A54" s="15" t="s">
        <v>915</v>
      </c>
      <c r="B54" s="15">
        <v>19581002</v>
      </c>
      <c r="C54" s="15">
        <v>20261231</v>
      </c>
      <c r="D54" s="21" t="s">
        <v>62</v>
      </c>
      <c r="E54" s="19">
        <f>VLOOKUP( $A54, Sovereignty!$A$2:$L$510, 12, 0 )</f>
        <v>0</v>
      </c>
      <c r="F54" s="40"/>
      <c r="G54" s="38"/>
      <c r="I54" s="16" t="s">
        <v>109</v>
      </c>
      <c r="J54" s="42" t="s">
        <v>624</v>
      </c>
    </row>
    <row r="55" spans="1:10" x14ac:dyDescent="0.2">
      <c r="A55" s="15" t="s">
        <v>1299</v>
      </c>
      <c r="B55" s="15">
        <v>18910101</v>
      </c>
      <c r="C55" s="15">
        <v>18951027</v>
      </c>
      <c r="D55" s="21" t="s">
        <v>62</v>
      </c>
      <c r="E55" s="19">
        <f>VLOOKUP( $A55, Sovereignty!$A$2:$L$510, 12, 0 )</f>
        <v>0</v>
      </c>
      <c r="F55" s="40"/>
      <c r="G55" s="38"/>
      <c r="I55" s="16" t="s">
        <v>1375</v>
      </c>
      <c r="J55" s="42" t="s">
        <v>624</v>
      </c>
    </row>
    <row r="56" spans="1:10" x14ac:dyDescent="0.2">
      <c r="A56" s="15" t="s">
        <v>1046</v>
      </c>
      <c r="B56" s="15">
        <v>19740910</v>
      </c>
      <c r="C56" s="15">
        <v>20261231</v>
      </c>
      <c r="D56" s="21" t="s">
        <v>1304</v>
      </c>
      <c r="E56" s="19">
        <f>VLOOKUP( $A56, Sovereignty!$A$2:$L$510, 12, 0 )</f>
        <v>0</v>
      </c>
      <c r="F56" s="40"/>
      <c r="G56" s="38"/>
      <c r="I56" s="16" t="s">
        <v>115</v>
      </c>
      <c r="J56" s="42" t="s">
        <v>624</v>
      </c>
    </row>
    <row r="57" spans="1:10" x14ac:dyDescent="0.2">
      <c r="A57" s="15" t="s">
        <v>1047</v>
      </c>
      <c r="B57" s="15">
        <v>18790101</v>
      </c>
      <c r="C57" s="15">
        <v>19740910</v>
      </c>
      <c r="D57" s="21" t="s">
        <v>1304</v>
      </c>
      <c r="E57" s="19">
        <f>VLOOKUP( $A57, Sovereignty!$A$2:$L$510, 12, 0 )</f>
        <v>0</v>
      </c>
      <c r="F57" s="40"/>
      <c r="G57" s="38"/>
      <c r="I57" s="16" t="s">
        <v>2465</v>
      </c>
      <c r="J57" s="42" t="s">
        <v>624</v>
      </c>
    </row>
    <row r="58" spans="1:10" x14ac:dyDescent="0.2">
      <c r="A58" s="15" t="s">
        <v>902</v>
      </c>
      <c r="B58" s="15">
        <v>18470726</v>
      </c>
      <c r="C58" s="15">
        <v>20261231</v>
      </c>
      <c r="D58" s="21" t="s">
        <v>88</v>
      </c>
      <c r="E58" s="19">
        <f>VLOOKUP( $A58, Sovereignty!$A$2:$L$510, 12, 0 )</f>
        <v>0</v>
      </c>
      <c r="F58" s="40"/>
      <c r="G58" s="38"/>
      <c r="I58" s="16" t="s">
        <v>116</v>
      </c>
      <c r="J58" s="42" t="s">
        <v>624</v>
      </c>
    </row>
    <row r="59" spans="1:10" x14ac:dyDescent="0.2">
      <c r="A59" s="15" t="s">
        <v>1306</v>
      </c>
      <c r="B59" s="15">
        <v>18220107</v>
      </c>
      <c r="C59" s="15">
        <v>18470726</v>
      </c>
      <c r="D59" s="21" t="s">
        <v>88</v>
      </c>
      <c r="E59" s="19">
        <f>VLOOKUP( $A59, Sovereignty!$A$2:$L$510, 12, 0 )</f>
        <v>0</v>
      </c>
      <c r="F59" s="40"/>
      <c r="G59" s="38"/>
      <c r="I59" s="16" t="s">
        <v>1338</v>
      </c>
      <c r="J59" s="42" t="s">
        <v>624</v>
      </c>
    </row>
    <row r="60" spans="1:10" x14ac:dyDescent="0.2">
      <c r="A60" s="15" t="s">
        <v>933</v>
      </c>
      <c r="B60" s="15">
        <v>19600807</v>
      </c>
      <c r="C60" s="15">
        <v>20261231</v>
      </c>
      <c r="D60" s="21" t="s">
        <v>1311</v>
      </c>
      <c r="E60" s="19">
        <f>VLOOKUP( $A60, Sovereignty!$A$2:$L$510, 12, 0 )</f>
        <v>0</v>
      </c>
      <c r="F60" s="40"/>
      <c r="G60" s="38"/>
      <c r="I60" s="16" t="s">
        <v>2492</v>
      </c>
      <c r="J60" s="42" t="s">
        <v>624</v>
      </c>
    </row>
    <row r="61" spans="1:10" x14ac:dyDescent="0.2">
      <c r="A61" s="15" t="s">
        <v>1307</v>
      </c>
      <c r="B61" s="15">
        <v>19581204</v>
      </c>
      <c r="C61" s="15">
        <v>19600807</v>
      </c>
      <c r="D61" s="21" t="s">
        <v>1311</v>
      </c>
      <c r="E61" s="19">
        <f>VLOOKUP( $A61, Sovereignty!$A$2:$L$510, 12, 0 )</f>
        <v>0</v>
      </c>
      <c r="F61" s="40"/>
      <c r="G61" s="38"/>
      <c r="I61" s="16" t="s">
        <v>2480</v>
      </c>
      <c r="J61" s="42" t="s">
        <v>624</v>
      </c>
    </row>
    <row r="62" spans="1:10" x14ac:dyDescent="0.2">
      <c r="A62" s="15" t="s">
        <v>1200</v>
      </c>
      <c r="B62" s="15">
        <v>18930310</v>
      </c>
      <c r="C62" s="15">
        <v>18951027</v>
      </c>
      <c r="D62" s="21" t="s">
        <v>1311</v>
      </c>
      <c r="E62" s="19">
        <f>VLOOKUP( $A62, Sovereignty!$A$2:$L$510, 12, 0 )</f>
        <v>0</v>
      </c>
      <c r="F62" s="40"/>
      <c r="G62" s="38"/>
      <c r="I62" s="16" t="s">
        <v>1251</v>
      </c>
      <c r="J62" s="42" t="s">
        <v>624</v>
      </c>
    </row>
    <row r="63" spans="1:10" x14ac:dyDescent="0.2">
      <c r="A63" s="15" t="s">
        <v>1456</v>
      </c>
      <c r="B63" s="15">
        <v>19570306</v>
      </c>
      <c r="C63" s="15">
        <v>20261231</v>
      </c>
      <c r="D63" s="25" t="s">
        <v>2469</v>
      </c>
      <c r="E63" s="19">
        <f>VLOOKUP( $A63, Sovereignty!$A$2:$L$510, 12, 0 )</f>
        <v>0</v>
      </c>
      <c r="F63" s="40"/>
      <c r="G63" s="38"/>
      <c r="I63" s="16" t="s">
        <v>2487</v>
      </c>
      <c r="J63" s="42" t="s">
        <v>624</v>
      </c>
    </row>
    <row r="64" spans="1:10" x14ac:dyDescent="0.2">
      <c r="A64" s="15" t="s">
        <v>906</v>
      </c>
      <c r="B64" s="15">
        <v>19600427</v>
      </c>
      <c r="C64" s="15">
        <v>20261231</v>
      </c>
      <c r="D64" s="21" t="s">
        <v>163</v>
      </c>
      <c r="E64" s="19">
        <f>VLOOKUP( $A64, Sovereignty!$A$2:$L$510, 12, 0 )</f>
        <v>0</v>
      </c>
      <c r="F64" s="40"/>
      <c r="G64" s="38"/>
      <c r="I64" s="16" t="s">
        <v>773</v>
      </c>
      <c r="J64" s="42" t="s">
        <v>624</v>
      </c>
    </row>
    <row r="65" spans="1:10" x14ac:dyDescent="0.2">
      <c r="A65" s="15" t="s">
        <v>2361</v>
      </c>
      <c r="B65" s="15">
        <v>19560910</v>
      </c>
      <c r="C65" s="15">
        <v>19600427</v>
      </c>
      <c r="D65" s="21" t="s">
        <v>163</v>
      </c>
      <c r="E65" s="19">
        <f>VLOOKUP( $A65, Sovereignty!$A$2:$L$510, 12, 0 )</f>
        <v>0</v>
      </c>
      <c r="F65" s="40"/>
      <c r="G65" s="38"/>
      <c r="I65" s="16" t="s">
        <v>2494</v>
      </c>
      <c r="J65" s="42" t="s">
        <v>624</v>
      </c>
    </row>
    <row r="66" spans="1:10" x14ac:dyDescent="0.2">
      <c r="A66" s="15" t="s">
        <v>1057</v>
      </c>
      <c r="B66" s="15">
        <v>18840705</v>
      </c>
      <c r="C66" s="15">
        <v>19161227</v>
      </c>
      <c r="D66" s="25" t="s">
        <v>2467</v>
      </c>
      <c r="E66" s="19">
        <f>VLOOKUP( $A66, Sovereignty!$A$2:$L$510, 12, 0 )</f>
        <v>0</v>
      </c>
      <c r="F66" s="40"/>
      <c r="G66" s="38"/>
      <c r="I66" s="16" t="s">
        <v>2468</v>
      </c>
      <c r="J66" s="42" t="s">
        <v>624</v>
      </c>
    </row>
    <row r="67" spans="1:10" x14ac:dyDescent="0.2">
      <c r="A67" s="15" t="s">
        <v>1060</v>
      </c>
      <c r="B67" s="15">
        <v>19161227</v>
      </c>
      <c r="C67" s="15">
        <v>19560910</v>
      </c>
      <c r="D67" s="21" t="s">
        <v>163</v>
      </c>
      <c r="E67" s="19">
        <f>VLOOKUP( $A67, Sovereignty!$A$2:$L$510, 12, 0 )</f>
        <v>0</v>
      </c>
      <c r="F67" s="40"/>
      <c r="G67" s="38"/>
      <c r="I67" s="41" t="s">
        <v>58</v>
      </c>
      <c r="J67" s="42" t="s">
        <v>624</v>
      </c>
    </row>
    <row r="68" spans="1:10" x14ac:dyDescent="0.2">
      <c r="A68" s="15" t="s">
        <v>1063</v>
      </c>
      <c r="B68" s="15">
        <v>19610427</v>
      </c>
      <c r="C68" s="15">
        <v>20261231</v>
      </c>
      <c r="D68" s="21" t="s">
        <v>1322</v>
      </c>
      <c r="E68" s="19">
        <f>VLOOKUP( $A68, Sovereignty!$A$2:$L$510, 12, 0 )</f>
        <v>0</v>
      </c>
      <c r="F68" s="40"/>
      <c r="G68" s="38"/>
      <c r="I68" s="16" t="s">
        <v>2485</v>
      </c>
      <c r="J68" s="45" t="s">
        <v>624</v>
      </c>
    </row>
    <row r="69" spans="1:10" x14ac:dyDescent="0.2">
      <c r="A69" s="15" t="s">
        <v>1065</v>
      </c>
      <c r="B69" s="15">
        <v>18080101</v>
      </c>
      <c r="C69" s="15">
        <v>19610427</v>
      </c>
      <c r="D69" s="21" t="s">
        <v>1322</v>
      </c>
      <c r="E69" s="19">
        <f>VLOOKUP( $A69, Sovereignty!$A$2:$L$510, 12, 0 )</f>
        <v>0</v>
      </c>
      <c r="F69" s="40"/>
      <c r="G69" s="38"/>
      <c r="I69" s="16" t="s">
        <v>2486</v>
      </c>
      <c r="J69" s="45" t="s">
        <v>624</v>
      </c>
    </row>
    <row r="70" spans="1:10" x14ac:dyDescent="0.2">
      <c r="A70" s="15" t="s">
        <v>907</v>
      </c>
      <c r="B70" s="15">
        <v>19600820</v>
      </c>
      <c r="C70" s="15">
        <v>20261231</v>
      </c>
      <c r="D70" s="21" t="s">
        <v>97</v>
      </c>
      <c r="E70" s="19">
        <f>VLOOKUP( $A70, Sovereignty!$A$2:$L$510, 12, 0 )</f>
        <v>0</v>
      </c>
      <c r="F70" s="40"/>
      <c r="G70" s="38"/>
      <c r="I70" s="16" t="s">
        <v>2471</v>
      </c>
      <c r="J70" s="45" t="s">
        <v>624</v>
      </c>
    </row>
    <row r="71" spans="1:10" x14ac:dyDescent="0.2">
      <c r="A71" s="15" t="s">
        <v>1068</v>
      </c>
      <c r="B71" s="15">
        <v>19581124</v>
      </c>
      <c r="C71" s="15">
        <v>19600620</v>
      </c>
      <c r="D71" s="21" t="s">
        <v>97</v>
      </c>
      <c r="E71" s="19">
        <f>VLOOKUP( $A71, Sovereignty!$A$2:$L$510, 12, 0 )</f>
        <v>0</v>
      </c>
      <c r="F71" s="40"/>
      <c r="G71" s="38"/>
      <c r="I71" s="16" t="s">
        <v>133</v>
      </c>
      <c r="J71" s="45" t="s">
        <v>624</v>
      </c>
    </row>
    <row r="72" spans="1:10" x14ac:dyDescent="0.2">
      <c r="A72" s="15" t="s">
        <v>1323</v>
      </c>
      <c r="B72" s="15">
        <v>18900818</v>
      </c>
      <c r="C72" s="15">
        <v>18951027</v>
      </c>
      <c r="D72" s="21" t="s">
        <v>97</v>
      </c>
      <c r="E72" s="19">
        <f>VLOOKUP( $A72, Sovereignty!$A$2:$L$510, 12, 0 )</f>
        <v>0</v>
      </c>
      <c r="F72" s="40"/>
      <c r="G72" s="38"/>
      <c r="I72" s="16" t="s">
        <v>1355</v>
      </c>
      <c r="J72" s="45" t="s">
        <v>624</v>
      </c>
    </row>
    <row r="73" spans="1:10" x14ac:dyDescent="0.2">
      <c r="A73" s="15" t="s">
        <v>918</v>
      </c>
      <c r="B73" s="15">
        <v>19600805</v>
      </c>
      <c r="C73" s="15">
        <v>20261231</v>
      </c>
      <c r="D73" s="21" t="s">
        <v>1326</v>
      </c>
      <c r="E73" s="19">
        <f>VLOOKUP( $A73, Sovereignty!$A$2:$L$510, 12, 0 )</f>
        <v>0</v>
      </c>
      <c r="F73" s="40"/>
      <c r="G73" s="38"/>
      <c r="I73" s="16" t="s">
        <v>2462</v>
      </c>
      <c r="J73" s="45" t="s">
        <v>624</v>
      </c>
    </row>
    <row r="74" spans="1:10" x14ac:dyDescent="0.2">
      <c r="A74" s="15" t="s">
        <v>1186</v>
      </c>
      <c r="B74" s="15">
        <v>19581211</v>
      </c>
      <c r="C74" s="15">
        <v>19600805</v>
      </c>
      <c r="D74" s="21" t="s">
        <v>1326</v>
      </c>
      <c r="E74" s="19">
        <f>VLOOKUP( $A74, Sovereignty!$A$2:$L$510, 12, 0 )</f>
        <v>0</v>
      </c>
      <c r="F74" s="40"/>
      <c r="G74" s="38"/>
      <c r="I74" s="16" t="s">
        <v>2458</v>
      </c>
      <c r="J74" s="45" t="s">
        <v>624</v>
      </c>
    </row>
    <row r="75" spans="1:10" x14ac:dyDescent="0.2">
      <c r="A75" s="15" t="s">
        <v>928</v>
      </c>
      <c r="B75" s="15">
        <v>19600803</v>
      </c>
      <c r="C75" s="15">
        <v>20261231</v>
      </c>
      <c r="D75" s="21" t="s">
        <v>115</v>
      </c>
      <c r="E75" s="19">
        <f>VLOOKUP( $A75, Sovereignty!$A$2:$L$510, 12, 0 )</f>
        <v>0</v>
      </c>
      <c r="F75" s="40"/>
      <c r="G75" s="38"/>
      <c r="I75" s="16" t="s">
        <v>2459</v>
      </c>
      <c r="J75" s="45" t="s">
        <v>624</v>
      </c>
    </row>
    <row r="76" spans="1:10" x14ac:dyDescent="0.2">
      <c r="A76" s="15" t="s">
        <v>1202</v>
      </c>
      <c r="B76" s="15">
        <v>19581218</v>
      </c>
      <c r="C76" s="15">
        <v>19600803</v>
      </c>
      <c r="D76" s="21" t="s">
        <v>115</v>
      </c>
      <c r="E76" s="19">
        <f>VLOOKUP( $A76, Sovereignty!$A$2:$L$510, 12, 0 )</f>
        <v>0</v>
      </c>
      <c r="F76" s="40"/>
      <c r="G76" s="38"/>
      <c r="I76" s="16" t="s">
        <v>2460</v>
      </c>
      <c r="J76" s="45" t="s">
        <v>624</v>
      </c>
    </row>
    <row r="77" spans="1:10" x14ac:dyDescent="0.2">
      <c r="A77" s="15" t="s">
        <v>931</v>
      </c>
      <c r="B77" s="15">
        <v>19600801</v>
      </c>
      <c r="C77" s="15">
        <v>20261231</v>
      </c>
      <c r="D77" s="21" t="s">
        <v>17</v>
      </c>
      <c r="E77" s="19">
        <f>VLOOKUP( $A77, Sovereignty!$A$2:$L$510, 12, 0 )</f>
        <v>0</v>
      </c>
      <c r="F77" s="40"/>
      <c r="G77" s="38"/>
      <c r="I77" s="16" t="s">
        <v>2461</v>
      </c>
      <c r="J77" s="45" t="s">
        <v>624</v>
      </c>
    </row>
    <row r="78" spans="1:10" x14ac:dyDescent="0.2">
      <c r="A78" s="15" t="s">
        <v>1204</v>
      </c>
      <c r="B78" s="15">
        <v>19581204</v>
      </c>
      <c r="C78" s="15">
        <v>19600801</v>
      </c>
      <c r="D78" s="21" t="s">
        <v>17</v>
      </c>
      <c r="E78" s="19">
        <f>VLOOKUP( $A78, Sovereignty!$A$2:$L$510, 12, 0 )</f>
        <v>0</v>
      </c>
      <c r="F78" s="40"/>
      <c r="G78" s="38"/>
      <c r="I78" s="16" t="s">
        <v>141</v>
      </c>
      <c r="J78" s="45" t="s">
        <v>624</v>
      </c>
    </row>
    <row r="79" spans="1:10" x14ac:dyDescent="0.2">
      <c r="A79" s="15" t="s">
        <v>1208</v>
      </c>
      <c r="B79" s="15">
        <v>18840705</v>
      </c>
      <c r="C79" s="15">
        <v>19570306</v>
      </c>
      <c r="D79" s="41" t="s">
        <v>58</v>
      </c>
      <c r="E79" s="19">
        <f>VLOOKUP( $A79, Sovereignty!$A$2:$L$510, 12, 0 )</f>
        <v>0</v>
      </c>
      <c r="F79" s="40"/>
      <c r="G79" s="38"/>
      <c r="I79" s="16" t="s">
        <v>142</v>
      </c>
      <c r="J79" s="45" t="s">
        <v>624</v>
      </c>
    </row>
    <row r="80" spans="1:10" x14ac:dyDescent="0.2">
      <c r="A80" s="15" t="s">
        <v>1208</v>
      </c>
      <c r="B80" s="15">
        <v>18210101</v>
      </c>
      <c r="C80" s="15">
        <v>18840705</v>
      </c>
      <c r="D80" s="25" t="s">
        <v>2468</v>
      </c>
      <c r="E80" s="19">
        <f>VLOOKUP( $A80, Sovereignty!$A$2:$L$510, 12, 0 )</f>
        <v>0</v>
      </c>
      <c r="F80" s="40"/>
      <c r="G80" s="38"/>
      <c r="I80" s="16" t="s">
        <v>1322</v>
      </c>
      <c r="J80" s="42" t="s">
        <v>624</v>
      </c>
    </row>
    <row r="81" spans="1:10" x14ac:dyDescent="0.2">
      <c r="A81" s="15" t="s">
        <v>937</v>
      </c>
      <c r="B81" s="15">
        <v>19611001</v>
      </c>
      <c r="C81" s="15">
        <v>20261231</v>
      </c>
      <c r="D81" s="41" t="s">
        <v>116</v>
      </c>
      <c r="E81" s="19">
        <f>VLOOKUP( $A81, Sovereignty!$A$2:$L$510, 12, 0 )</f>
        <v>0</v>
      </c>
      <c r="F81" s="40"/>
      <c r="G81" s="38"/>
      <c r="I81" s="16" t="s">
        <v>2493</v>
      </c>
      <c r="J81" s="42" t="s">
        <v>624</v>
      </c>
    </row>
    <row r="82" spans="1:10" x14ac:dyDescent="0.2">
      <c r="A82" s="15" t="s">
        <v>937</v>
      </c>
      <c r="B82" s="15">
        <v>19601001</v>
      </c>
      <c r="C82" s="15">
        <v>19611001</v>
      </c>
      <c r="D82" s="25" t="s">
        <v>2471</v>
      </c>
      <c r="E82" s="19">
        <f>VLOOKUP( $A82, Sovereignty!$A$2:$L$510, 12, 0 )</f>
        <v>0</v>
      </c>
      <c r="F82" s="40"/>
      <c r="G82" s="38"/>
      <c r="I82" s="16" t="s">
        <v>1340</v>
      </c>
      <c r="J82" s="45" t="s">
        <v>624</v>
      </c>
    </row>
    <row r="83" spans="1:10" x14ac:dyDescent="0.2">
      <c r="A83" s="15" t="s">
        <v>1213</v>
      </c>
      <c r="B83" s="15">
        <v>19140101</v>
      </c>
      <c r="C83" s="15">
        <v>19601001</v>
      </c>
      <c r="D83" s="25" t="s">
        <v>2471</v>
      </c>
      <c r="E83" s="19">
        <f>VLOOKUP( $A83, Sovereignty!$A$2:$L$510, 12, 0 )</f>
        <v>0</v>
      </c>
      <c r="F83" s="40"/>
      <c r="G83" s="38"/>
      <c r="I83" s="16" t="s">
        <v>1469</v>
      </c>
      <c r="J83" s="45" t="s">
        <v>624</v>
      </c>
    </row>
    <row r="84" spans="1:10" x14ac:dyDescent="0.2">
      <c r="A84" s="15" t="s">
        <v>1219</v>
      </c>
      <c r="B84" s="15">
        <v>19000101</v>
      </c>
      <c r="C84" s="15">
        <v>19140101</v>
      </c>
      <c r="D84" s="21" t="s">
        <v>1338</v>
      </c>
      <c r="E84" s="19">
        <f>VLOOKUP( $A84, Sovereignty!$A$2:$L$510, 12, 0 )</f>
        <v>0</v>
      </c>
      <c r="F84" s="40"/>
      <c r="G84" s="38"/>
      <c r="I84" s="16" t="s">
        <v>1490</v>
      </c>
      <c r="J84" s="45" t="s">
        <v>624</v>
      </c>
    </row>
    <row r="85" spans="1:10" x14ac:dyDescent="0.2">
      <c r="A85" s="15" t="s">
        <v>1220</v>
      </c>
      <c r="B85" s="15">
        <v>19000101</v>
      </c>
      <c r="C85" s="15">
        <v>19140101</v>
      </c>
      <c r="D85" s="25" t="s">
        <v>1340</v>
      </c>
      <c r="E85" s="19">
        <f>VLOOKUP( $A85, Sovereignty!$A$2:$L$510, 12, 0 )</f>
        <v>0</v>
      </c>
      <c r="F85" s="40"/>
      <c r="G85" s="38"/>
      <c r="I85" s="16" t="s">
        <v>2476</v>
      </c>
      <c r="J85" s="45" t="s">
        <v>624</v>
      </c>
    </row>
    <row r="86" spans="1:10" x14ac:dyDescent="0.2">
      <c r="A86" s="15" t="s">
        <v>938</v>
      </c>
      <c r="B86" s="15">
        <v>19681012</v>
      </c>
      <c r="C86" s="15">
        <v>20261231</v>
      </c>
      <c r="D86" s="25" t="s">
        <v>1353</v>
      </c>
      <c r="E86" s="19">
        <f>VLOOKUP( $A86, Sovereignty!$A$2:$L$510, 12, 0 )</f>
        <v>0</v>
      </c>
      <c r="F86" s="40"/>
      <c r="G86" s="38"/>
      <c r="I86" s="16" t="s">
        <v>2478</v>
      </c>
      <c r="J86" s="45" t="s">
        <v>624</v>
      </c>
    </row>
    <row r="87" spans="1:10" x14ac:dyDescent="0.2">
      <c r="A87" s="15" t="s">
        <v>1349</v>
      </c>
      <c r="B87" s="15">
        <v>19590730</v>
      </c>
      <c r="C87" s="15">
        <v>19681012</v>
      </c>
      <c r="D87" s="25" t="s">
        <v>1353</v>
      </c>
      <c r="E87" s="19">
        <f>VLOOKUP( $A87, Sovereignty!$A$2:$L$510, 12, 0 )</f>
        <v>0</v>
      </c>
      <c r="F87" s="40"/>
      <c r="G87" s="38"/>
      <c r="I87" s="44" t="s">
        <v>161</v>
      </c>
      <c r="J87" s="45" t="s">
        <v>624</v>
      </c>
    </row>
    <row r="88" spans="1:10" x14ac:dyDescent="0.2">
      <c r="A88" s="15" t="s">
        <v>1350</v>
      </c>
      <c r="B88" s="15">
        <v>19000627</v>
      </c>
      <c r="C88" s="15">
        <v>19590730</v>
      </c>
      <c r="D88" s="25" t="s">
        <v>1353</v>
      </c>
      <c r="E88" s="19">
        <f>VLOOKUP( $A88, Sovereignty!$A$2:$L$510, 12, 0 )</f>
        <v>0</v>
      </c>
      <c r="F88" s="40"/>
      <c r="G88" s="38"/>
      <c r="I88" s="16" t="s">
        <v>1298</v>
      </c>
      <c r="J88" s="42" t="s">
        <v>624</v>
      </c>
    </row>
    <row r="89" spans="1:10" x14ac:dyDescent="0.2">
      <c r="A89" s="15" t="s">
        <v>2362</v>
      </c>
      <c r="B89" s="15">
        <v>19750712</v>
      </c>
      <c r="C89" s="15">
        <v>20261231</v>
      </c>
      <c r="D89" s="25" t="s">
        <v>1355</v>
      </c>
      <c r="E89" s="19">
        <f>VLOOKUP( $A89, Sovereignty!$A$2:$L$510, 12, 0 )</f>
        <v>0</v>
      </c>
      <c r="F89" s="40"/>
      <c r="G89" s="38"/>
      <c r="I89" s="16" t="s">
        <v>163</v>
      </c>
      <c r="J89" s="42" t="s">
        <v>624</v>
      </c>
    </row>
    <row r="90" spans="1:10" x14ac:dyDescent="0.2">
      <c r="A90" s="15" t="s">
        <v>1032</v>
      </c>
      <c r="B90" s="15">
        <v>14850101</v>
      </c>
      <c r="C90" s="15">
        <v>19750712</v>
      </c>
      <c r="D90" s="25" t="s">
        <v>1355</v>
      </c>
      <c r="E90" s="19">
        <f>VLOOKUP( $A90, Sovereignty!$A$2:$L$510, 12, 0 )</f>
        <v>0</v>
      </c>
      <c r="F90" s="40"/>
      <c r="G90" s="38"/>
      <c r="I90" s="16" t="s">
        <v>2467</v>
      </c>
      <c r="J90" s="42" t="s">
        <v>624</v>
      </c>
    </row>
    <row r="91" spans="1:10" x14ac:dyDescent="0.2">
      <c r="A91" s="15" t="s">
        <v>904</v>
      </c>
      <c r="B91" s="15">
        <v>19760629</v>
      </c>
      <c r="C91" s="15">
        <v>20261231</v>
      </c>
      <c r="D91" s="25" t="s">
        <v>142</v>
      </c>
      <c r="E91" s="19">
        <f>VLOOKUP( $A91, Sovereignty!$A$2:$L$510, 12, 0 )</f>
        <v>0</v>
      </c>
      <c r="F91" s="40"/>
      <c r="G91" s="38"/>
      <c r="I91" s="16" t="s">
        <v>1390</v>
      </c>
      <c r="J91" s="42" t="s">
        <v>624</v>
      </c>
    </row>
    <row r="92" spans="1:10" x14ac:dyDescent="0.2">
      <c r="A92" s="15" t="s">
        <v>1036</v>
      </c>
      <c r="B92" s="15">
        <v>18140430</v>
      </c>
      <c r="C92" s="15">
        <v>19760629</v>
      </c>
      <c r="D92" s="25" t="s">
        <v>142</v>
      </c>
      <c r="E92" s="19">
        <f>VLOOKUP( $A92, Sovereignty!$A$2:$L$510, 12, 0 )</f>
        <v>0</v>
      </c>
      <c r="F92" s="40"/>
      <c r="G92" s="38"/>
      <c r="I92" s="16" t="s">
        <v>2483</v>
      </c>
      <c r="J92" s="42" t="s">
        <v>624</v>
      </c>
    </row>
    <row r="93" spans="1:10" x14ac:dyDescent="0.2">
      <c r="A93" s="15" t="s">
        <v>1037</v>
      </c>
      <c r="B93" s="15">
        <v>17561101</v>
      </c>
      <c r="C93" s="15">
        <v>18140430</v>
      </c>
      <c r="D93" s="25" t="s">
        <v>142</v>
      </c>
      <c r="E93" s="19">
        <f>VLOOKUP( $A93, Sovereignty!$A$2:$L$510, 12, 0 )</f>
        <v>0</v>
      </c>
      <c r="F93" s="40"/>
      <c r="G93" s="38"/>
      <c r="I93" s="16" t="s">
        <v>2482</v>
      </c>
      <c r="J93" s="45" t="s">
        <v>624</v>
      </c>
    </row>
    <row r="94" spans="1:10" x14ac:dyDescent="0.2">
      <c r="A94" s="15" t="s">
        <v>905</v>
      </c>
      <c r="B94" s="15">
        <v>19751111</v>
      </c>
      <c r="C94" s="15">
        <v>20261231</v>
      </c>
      <c r="D94" s="25" t="s">
        <v>4</v>
      </c>
      <c r="E94" s="19">
        <f>VLOOKUP( $A94, Sovereignty!$A$2:$L$510, 12, 0 )</f>
        <v>0</v>
      </c>
      <c r="F94" s="40"/>
      <c r="G94" s="38"/>
      <c r="I94" s="16" t="s">
        <v>166</v>
      </c>
      <c r="J94" s="45" t="s">
        <v>624</v>
      </c>
    </row>
    <row r="95" spans="1:10" x14ac:dyDescent="0.2">
      <c r="A95" s="15" t="s">
        <v>1358</v>
      </c>
      <c r="B95" s="15">
        <v>18910611</v>
      </c>
      <c r="C95" s="15">
        <v>19751111</v>
      </c>
      <c r="D95" s="25" t="s">
        <v>4</v>
      </c>
      <c r="E95" s="19">
        <f>VLOOKUP( $A95, Sovereignty!$A$2:$L$510, 12, 0 )</f>
        <v>0</v>
      </c>
      <c r="F95" s="40"/>
      <c r="G95" s="38"/>
      <c r="I95" s="16" t="s">
        <v>170</v>
      </c>
      <c r="J95" s="45" t="s">
        <v>624</v>
      </c>
    </row>
    <row r="96" spans="1:10" x14ac:dyDescent="0.2">
      <c r="A96" s="15" t="s">
        <v>1329</v>
      </c>
      <c r="B96" s="15">
        <v>19600630</v>
      </c>
      <c r="C96" s="15">
        <v>20261231</v>
      </c>
      <c r="D96" s="25" t="s">
        <v>2456</v>
      </c>
      <c r="E96" s="19">
        <f>VLOOKUP( $A96, Sovereignty!$A$2:$L$510, 12, 0 )</f>
        <v>0</v>
      </c>
      <c r="F96" s="40"/>
      <c r="G96" s="38"/>
      <c r="I96" s="44" t="s">
        <v>2505</v>
      </c>
      <c r="J96" s="45" t="s">
        <v>624</v>
      </c>
    </row>
    <row r="97" spans="1:10" x14ac:dyDescent="0.2">
      <c r="A97" s="15" t="s">
        <v>1077</v>
      </c>
      <c r="B97" s="15">
        <v>19081115</v>
      </c>
      <c r="C97" s="15">
        <v>19600630</v>
      </c>
      <c r="D97" s="25" t="s">
        <v>2456</v>
      </c>
      <c r="E97" s="19">
        <f>VLOOKUP( $A97, Sovereignty!$A$2:$L$510, 12, 0 )</f>
        <v>0</v>
      </c>
      <c r="F97" s="40"/>
      <c r="G97" s="38"/>
      <c r="I97" s="16" t="s">
        <v>181</v>
      </c>
      <c r="J97" s="45" t="s">
        <v>624</v>
      </c>
    </row>
    <row r="98" spans="1:10" x14ac:dyDescent="0.2">
      <c r="A98" s="15" t="s">
        <v>1365</v>
      </c>
      <c r="B98" s="15">
        <v>18850701</v>
      </c>
      <c r="C98" s="15">
        <v>19081115</v>
      </c>
      <c r="D98" s="25" t="s">
        <v>2456</v>
      </c>
      <c r="E98" s="19">
        <f>VLOOKUP( $A98, Sovereignty!$A$2:$L$510, 12, 0 )</f>
        <v>0</v>
      </c>
      <c r="F98" s="40"/>
      <c r="G98" s="38"/>
      <c r="I98" s="16" t="s">
        <v>2475</v>
      </c>
      <c r="J98" s="45" t="s">
        <v>624</v>
      </c>
    </row>
    <row r="99" spans="1:10" x14ac:dyDescent="0.2">
      <c r="A99" s="15" t="s">
        <v>912</v>
      </c>
      <c r="B99" s="15">
        <v>19611001</v>
      </c>
      <c r="C99" s="15">
        <v>20261231</v>
      </c>
      <c r="D99" s="41" t="s">
        <v>28</v>
      </c>
      <c r="E99" s="19">
        <f>VLOOKUP( $A99, Sovereignty!$A$2:$L$510, 12, 0 )</f>
        <v>0</v>
      </c>
      <c r="F99" s="40"/>
      <c r="G99" s="38"/>
      <c r="I99" s="16" t="s">
        <v>2477</v>
      </c>
      <c r="J99" s="45" t="s">
        <v>624</v>
      </c>
    </row>
    <row r="100" spans="1:10" x14ac:dyDescent="0.2">
      <c r="A100" s="15" t="s">
        <v>1137</v>
      </c>
      <c r="B100" s="15">
        <v>19160720</v>
      </c>
      <c r="C100" s="15">
        <v>19611001</v>
      </c>
      <c r="D100" s="41" t="s">
        <v>2489</v>
      </c>
      <c r="E100" s="19">
        <f>VLOOKUP( $A100, Sovereignty!$A$2:$L$510, 12, 0 )</f>
        <v>0</v>
      </c>
      <c r="F100" s="40"/>
      <c r="G100" s="38"/>
      <c r="I100" s="16" t="s">
        <v>182</v>
      </c>
      <c r="J100" s="45" t="s">
        <v>624</v>
      </c>
    </row>
    <row r="101" spans="1:10" x14ac:dyDescent="0.2">
      <c r="A101" s="15" t="s">
        <v>1136</v>
      </c>
      <c r="B101" s="15">
        <v>19160720</v>
      </c>
      <c r="C101" s="15">
        <v>19601001</v>
      </c>
      <c r="D101" s="41" t="s">
        <v>2490</v>
      </c>
      <c r="E101" s="19">
        <f>VLOOKUP( $A101, Sovereignty!$A$2:$L$510, 12, 0 )</f>
        <v>0</v>
      </c>
      <c r="F101" s="40"/>
      <c r="G101" s="38"/>
    </row>
    <row r="102" spans="1:10" x14ac:dyDescent="0.2">
      <c r="A102" s="15" t="s">
        <v>1135</v>
      </c>
      <c r="B102" s="15">
        <v>18840817</v>
      </c>
      <c r="C102" s="15">
        <v>19160720</v>
      </c>
      <c r="D102" s="25" t="s">
        <v>2470</v>
      </c>
      <c r="E102" s="19">
        <f>VLOOKUP( $A102, Sovereignty!$A$2:$L$510, 12, 0 )</f>
        <v>0</v>
      </c>
      <c r="F102" s="40"/>
      <c r="G102" s="38"/>
    </row>
    <row r="103" spans="1:10" x14ac:dyDescent="0.2">
      <c r="A103" s="15" t="s">
        <v>910</v>
      </c>
      <c r="B103" s="15">
        <v>19900321</v>
      </c>
      <c r="C103" s="15">
        <v>20261231</v>
      </c>
      <c r="D103" s="25" t="s">
        <v>109</v>
      </c>
      <c r="E103" s="19">
        <f>VLOOKUP( $A103, Sovereignty!$A$2:$L$510, 12, 0 )</f>
        <v>0</v>
      </c>
      <c r="F103" s="40"/>
      <c r="G103" s="38"/>
    </row>
    <row r="104" spans="1:10" x14ac:dyDescent="0.2">
      <c r="A104" s="15" t="s">
        <v>1116</v>
      </c>
      <c r="B104" s="15">
        <v>19150709</v>
      </c>
      <c r="C104" s="15">
        <v>19900321</v>
      </c>
      <c r="D104" s="25" t="s">
        <v>109</v>
      </c>
      <c r="E104" s="19">
        <f>VLOOKUP( $A104, Sovereignty!$A$2:$L$510, 12, 0 )</f>
        <v>0</v>
      </c>
      <c r="F104" s="40"/>
      <c r="G104" s="38"/>
    </row>
    <row r="105" spans="1:10" x14ac:dyDescent="0.2">
      <c r="A105" s="15" t="s">
        <v>1115</v>
      </c>
      <c r="B105" s="15">
        <v>18840807</v>
      </c>
      <c r="C105" s="15">
        <v>19150709</v>
      </c>
      <c r="D105" s="25" t="s">
        <v>109</v>
      </c>
      <c r="E105" s="19">
        <f>VLOOKUP( $A105, Sovereignty!$A$2:$L$510, 12, 0 )</f>
        <v>0</v>
      </c>
      <c r="F105" s="40"/>
      <c r="G105" s="38"/>
    </row>
    <row r="106" spans="1:10" x14ac:dyDescent="0.2">
      <c r="A106" s="15" t="s">
        <v>919</v>
      </c>
      <c r="B106" s="15">
        <v>19660930</v>
      </c>
      <c r="C106" s="15">
        <v>20261231</v>
      </c>
      <c r="D106" s="25" t="s">
        <v>21</v>
      </c>
      <c r="E106" s="19">
        <f>VLOOKUP( $A106, Sovereignty!$A$2:$L$510, 12, 0 )</f>
        <v>0</v>
      </c>
      <c r="F106" s="40"/>
      <c r="G106" s="38"/>
    </row>
    <row r="107" spans="1:10" x14ac:dyDescent="0.2">
      <c r="A107" s="15" t="s">
        <v>1370</v>
      </c>
      <c r="B107" s="15">
        <v>18850331</v>
      </c>
      <c r="C107" s="15">
        <v>19660930</v>
      </c>
      <c r="D107" s="25" t="s">
        <v>21</v>
      </c>
      <c r="E107" s="19">
        <f>VLOOKUP( $A107, Sovereignty!$A$2:$L$510, 12, 0 )</f>
        <v>0</v>
      </c>
      <c r="F107" s="40"/>
      <c r="G107" s="38"/>
    </row>
    <row r="108" spans="1:10" x14ac:dyDescent="0.2">
      <c r="A108" s="15" t="s">
        <v>1371</v>
      </c>
      <c r="B108" s="15">
        <v>19100531</v>
      </c>
      <c r="C108" s="15">
        <v>20261231</v>
      </c>
      <c r="D108" s="41" t="s">
        <v>2493</v>
      </c>
      <c r="E108" s="19">
        <f>VLOOKUP( $A108, Sovereignty!$A$2:$L$510, 12, 0 )</f>
        <v>0</v>
      </c>
      <c r="F108" s="40"/>
      <c r="G108" s="38"/>
    </row>
    <row r="109" spans="1:10" x14ac:dyDescent="0.2">
      <c r="A109" s="15" t="s">
        <v>922</v>
      </c>
      <c r="B109" s="15">
        <v>19680924</v>
      </c>
      <c r="C109" s="15">
        <v>20261231</v>
      </c>
      <c r="D109" s="25" t="s">
        <v>52</v>
      </c>
      <c r="E109" s="19">
        <f>VLOOKUP( $A109, Sovereignty!$A$2:$L$510, 12, 0 )</f>
        <v>0</v>
      </c>
      <c r="F109" s="40"/>
      <c r="G109" s="38"/>
    </row>
    <row r="110" spans="1:10" x14ac:dyDescent="0.2">
      <c r="A110" s="15" t="s">
        <v>1379</v>
      </c>
      <c r="B110" s="15">
        <v>19030101</v>
      </c>
      <c r="C110" s="15">
        <v>19680924</v>
      </c>
      <c r="D110" s="25" t="s">
        <v>52</v>
      </c>
      <c r="E110" s="19">
        <f>VLOOKUP( $A110, Sovereignty!$A$2:$L$510, 12, 0 )</f>
        <v>0</v>
      </c>
      <c r="F110" s="40"/>
      <c r="G110" s="38"/>
    </row>
    <row r="111" spans="1:10" x14ac:dyDescent="0.2">
      <c r="A111" s="15" t="s">
        <v>1376</v>
      </c>
      <c r="B111" s="15">
        <v>18430504</v>
      </c>
      <c r="C111" s="15">
        <v>19100531</v>
      </c>
      <c r="D111" s="25" t="s">
        <v>1375</v>
      </c>
      <c r="E111" s="19">
        <f>VLOOKUP( $A111, Sovereignty!$A$2:$L$510, 12, 0 )</f>
        <v>0</v>
      </c>
      <c r="F111" s="40"/>
      <c r="G111" s="38"/>
    </row>
    <row r="112" spans="1:10" x14ac:dyDescent="0.2">
      <c r="A112" s="15" t="s">
        <v>908</v>
      </c>
      <c r="B112" s="15">
        <v>19661004</v>
      </c>
      <c r="C112" s="15">
        <v>20261231</v>
      </c>
      <c r="D112" s="25" t="s">
        <v>87</v>
      </c>
      <c r="E112" s="19">
        <f>VLOOKUP( $A112, Sovereignty!$A$2:$L$510, 12, 0 )</f>
        <v>0</v>
      </c>
      <c r="F112" s="40"/>
      <c r="G112" s="38"/>
    </row>
    <row r="113" spans="1:7" x14ac:dyDescent="0.2">
      <c r="A113" s="15" t="s">
        <v>1373</v>
      </c>
      <c r="B113" s="15">
        <v>18840318</v>
      </c>
      <c r="C113" s="15">
        <v>19661004</v>
      </c>
      <c r="D113" s="25" t="s">
        <v>87</v>
      </c>
      <c r="E113" s="19">
        <f>VLOOKUP( $A113, Sovereignty!$A$2:$L$510, 12, 0 )</f>
        <v>0</v>
      </c>
      <c r="F113" s="40"/>
      <c r="G113" s="38"/>
    </row>
    <row r="114" spans="1:7" x14ac:dyDescent="0.2">
      <c r="A114" s="15" t="s">
        <v>1105</v>
      </c>
      <c r="B114" s="15">
        <v>18060108</v>
      </c>
      <c r="C114" s="15">
        <v>19100531</v>
      </c>
      <c r="D114" s="41" t="s">
        <v>2488</v>
      </c>
      <c r="E114" s="19">
        <f>VLOOKUP( $A114, Sovereignty!$A$2:$L$510, 12, 0 )</f>
        <v>0</v>
      </c>
      <c r="F114" s="40"/>
      <c r="G114" s="38"/>
    </row>
    <row r="115" spans="1:7" x14ac:dyDescent="0.2">
      <c r="A115" s="15" t="s">
        <v>1393</v>
      </c>
      <c r="B115" s="15">
        <v>19020531</v>
      </c>
      <c r="C115" s="15">
        <v>19100531</v>
      </c>
      <c r="D115" s="41" t="s">
        <v>1390</v>
      </c>
      <c r="E115" s="19">
        <f>VLOOKUP( $A115, Sovereignty!$A$2:$L$510, 12, 0 )</f>
        <v>0</v>
      </c>
      <c r="F115" s="40"/>
      <c r="G115" s="38"/>
    </row>
    <row r="116" spans="1:7" x14ac:dyDescent="0.2">
      <c r="A116" s="15" t="s">
        <v>1392</v>
      </c>
      <c r="B116" s="15">
        <v>19020531</v>
      </c>
      <c r="C116" s="15">
        <v>19100531</v>
      </c>
      <c r="D116" s="41" t="s">
        <v>2487</v>
      </c>
      <c r="E116" s="19">
        <f>VLOOKUP( $A116, Sovereignty!$A$2:$L$510, 12, 0 )</f>
        <v>0</v>
      </c>
      <c r="F116" s="40"/>
      <c r="G116" s="38"/>
    </row>
    <row r="117" spans="1:7" x14ac:dyDescent="0.2">
      <c r="A117" s="15" t="s">
        <v>917</v>
      </c>
      <c r="B117" s="15">
        <v>19641024</v>
      </c>
      <c r="C117" s="15">
        <v>20261231</v>
      </c>
      <c r="D117" s="25" t="s">
        <v>181</v>
      </c>
      <c r="E117" s="19">
        <f>VLOOKUP( $A117, Sovereignty!$A$2:$L$510, 12, 0 )</f>
        <v>0</v>
      </c>
      <c r="F117" s="40"/>
      <c r="G117" s="38"/>
    </row>
    <row r="118" spans="1:7" x14ac:dyDescent="0.2">
      <c r="A118" s="15" t="s">
        <v>1407</v>
      </c>
      <c r="B118" s="15">
        <v>19631231</v>
      </c>
      <c r="C118" s="15">
        <v>19641024</v>
      </c>
      <c r="D118" s="25" t="s">
        <v>181</v>
      </c>
      <c r="E118" s="19">
        <f>VLOOKUP( $A118, Sovereignty!$A$2:$L$510, 12, 0 )</f>
        <v>0</v>
      </c>
      <c r="F118" s="40"/>
      <c r="G118" s="38"/>
    </row>
    <row r="119" spans="1:7" x14ac:dyDescent="0.2">
      <c r="A119" s="15" t="s">
        <v>1183</v>
      </c>
      <c r="B119" s="15">
        <v>19530801</v>
      </c>
      <c r="C119" s="15">
        <v>19631231</v>
      </c>
      <c r="D119" s="25" t="s">
        <v>2475</v>
      </c>
      <c r="E119" s="19">
        <f>VLOOKUP( $A119, Sovereignty!$A$2:$L$510, 12, 0 )</f>
        <v>0</v>
      </c>
      <c r="F119" s="40"/>
      <c r="G119" s="38"/>
    </row>
    <row r="120" spans="1:7" x14ac:dyDescent="0.2">
      <c r="A120" s="15" t="s">
        <v>1402</v>
      </c>
      <c r="B120" s="15">
        <v>19240401</v>
      </c>
      <c r="C120" s="15">
        <v>19530801</v>
      </c>
      <c r="D120" s="25" t="s">
        <v>181</v>
      </c>
      <c r="E120" s="19">
        <f>VLOOKUP( $A120, Sovereignty!$A$2:$L$510, 12, 0 )</f>
        <v>0</v>
      </c>
      <c r="F120" s="40"/>
      <c r="G120" s="38"/>
    </row>
    <row r="121" spans="1:7" x14ac:dyDescent="0.2">
      <c r="A121" s="15" t="s">
        <v>1411</v>
      </c>
      <c r="B121" s="15">
        <v>19800418</v>
      </c>
      <c r="C121" s="15">
        <v>20261231</v>
      </c>
      <c r="D121" s="25" t="s">
        <v>182</v>
      </c>
      <c r="E121" s="19">
        <f>VLOOKUP( $A121, Sovereignty!$A$2:$L$510, 12, 0 )</f>
        <v>0</v>
      </c>
      <c r="F121" s="40"/>
      <c r="G121" s="38"/>
    </row>
    <row r="122" spans="1:7" x14ac:dyDescent="0.2">
      <c r="A122" s="15" t="s">
        <v>1404</v>
      </c>
      <c r="B122" s="15">
        <v>19631231</v>
      </c>
      <c r="C122" s="15">
        <v>19800418</v>
      </c>
      <c r="D122" s="25" t="s">
        <v>182</v>
      </c>
      <c r="E122" s="19">
        <f>VLOOKUP( $A122, Sovereignty!$A$2:$L$510, 12, 0 )</f>
        <v>0</v>
      </c>
      <c r="F122" s="40"/>
      <c r="G122" s="38"/>
    </row>
    <row r="123" spans="1:7" x14ac:dyDescent="0.2">
      <c r="A123" s="15" t="s">
        <v>1405</v>
      </c>
      <c r="B123" s="15">
        <v>19230912</v>
      </c>
      <c r="C123" s="15">
        <v>19530801</v>
      </c>
      <c r="D123" s="25" t="s">
        <v>182</v>
      </c>
      <c r="E123" s="19">
        <f>VLOOKUP( $A123, Sovereignty!$A$2:$L$510, 12, 0 )</f>
        <v>0</v>
      </c>
      <c r="F123" s="40"/>
      <c r="G123" s="38"/>
    </row>
    <row r="124" spans="1:7" x14ac:dyDescent="0.2">
      <c r="A124" s="15" t="s">
        <v>930</v>
      </c>
      <c r="B124" s="15">
        <v>19750625</v>
      </c>
      <c r="C124" s="15">
        <v>20261231</v>
      </c>
      <c r="D124" s="25" t="s">
        <v>107</v>
      </c>
      <c r="E124" s="19">
        <f>VLOOKUP( $A124, Sovereignty!$A$2:$L$510, 12, 0 )</f>
        <v>0</v>
      </c>
      <c r="F124" s="40"/>
      <c r="G124" s="38"/>
    </row>
    <row r="125" spans="1:7" x14ac:dyDescent="0.2">
      <c r="A125" s="15" t="s">
        <v>1414</v>
      </c>
      <c r="B125" s="15">
        <v>18910611</v>
      </c>
      <c r="C125" s="15">
        <v>19750625</v>
      </c>
      <c r="D125" s="25" t="s">
        <v>107</v>
      </c>
      <c r="E125" s="19">
        <f>VLOOKUP( $A125, Sovereignty!$A$2:$L$510, 12, 0 )</f>
        <v>0</v>
      </c>
      <c r="F125" s="40"/>
      <c r="G125" s="38"/>
    </row>
    <row r="126" spans="1:7" x14ac:dyDescent="0.2">
      <c r="A126" s="15" t="s">
        <v>935</v>
      </c>
      <c r="B126" s="15">
        <v>19640426</v>
      </c>
      <c r="C126" s="15">
        <v>20261231</v>
      </c>
      <c r="D126" s="44" t="s">
        <v>161</v>
      </c>
      <c r="E126" s="19">
        <f>VLOOKUP( $A126, Sovereignty!$A$2:$L$510, 12, 0 )</f>
        <v>0</v>
      </c>
      <c r="F126" s="40"/>
      <c r="G126" s="38"/>
    </row>
    <row r="127" spans="1:7" x14ac:dyDescent="0.2">
      <c r="A127" s="15" t="s">
        <v>1419</v>
      </c>
      <c r="B127" s="15">
        <v>19611209</v>
      </c>
      <c r="C127" s="15">
        <v>19640426</v>
      </c>
      <c r="D127" s="25" t="s">
        <v>2476</v>
      </c>
      <c r="E127" s="19">
        <f>VLOOKUP( $A127, Sovereignty!$A$2:$L$510, 12, 0 )</f>
        <v>0</v>
      </c>
      <c r="F127" s="40"/>
      <c r="G127" s="38"/>
    </row>
    <row r="128" spans="1:7" x14ac:dyDescent="0.2">
      <c r="A128" s="15" t="s">
        <v>1421</v>
      </c>
      <c r="B128" s="15">
        <v>18901201</v>
      </c>
      <c r="C128" s="15">
        <v>19631210</v>
      </c>
      <c r="D128" s="25" t="s">
        <v>2477</v>
      </c>
      <c r="E128" s="19">
        <f>VLOOKUP( $A128, Sovereignty!$A$2:$L$510, 12, 0 )</f>
        <v>0</v>
      </c>
      <c r="F128" s="40"/>
      <c r="G128" s="38"/>
    </row>
    <row r="129" spans="1:7" x14ac:dyDescent="0.2">
      <c r="A129" s="15" t="s">
        <v>1420</v>
      </c>
      <c r="B129" s="15">
        <v>19631210</v>
      </c>
      <c r="C129" s="15">
        <v>19640426</v>
      </c>
      <c r="D129" s="25" t="s">
        <v>2477</v>
      </c>
      <c r="E129" s="19">
        <f>VLOOKUP( $A129, Sovereignty!$A$2:$L$510, 12, 0 )</f>
        <v>0</v>
      </c>
      <c r="F129" s="40"/>
      <c r="G129" s="38"/>
    </row>
    <row r="130" spans="1:7" x14ac:dyDescent="0.2">
      <c r="A130" s="15" t="s">
        <v>1427</v>
      </c>
      <c r="B130" s="15">
        <v>18560406</v>
      </c>
      <c r="C130" s="15">
        <v>18901201</v>
      </c>
      <c r="D130" s="25" t="s">
        <v>2477</v>
      </c>
      <c r="E130" s="19">
        <f>VLOOKUP( $A130, Sovereignty!$A$2:$L$510, 12, 0 )</f>
        <v>0</v>
      </c>
      <c r="F130" s="40"/>
      <c r="G130" s="38"/>
    </row>
    <row r="131" spans="1:7" x14ac:dyDescent="0.2">
      <c r="A131" s="15" t="s">
        <v>1425</v>
      </c>
      <c r="B131" s="15">
        <v>19160904</v>
      </c>
      <c r="C131" s="15">
        <v>19611209</v>
      </c>
      <c r="D131" s="25" t="s">
        <v>2476</v>
      </c>
      <c r="E131" s="19">
        <f>VLOOKUP( $A131, Sovereignty!$A$2:$L$510, 12, 0 )</f>
        <v>0</v>
      </c>
      <c r="F131" s="40"/>
      <c r="G131" s="38"/>
    </row>
    <row r="132" spans="1:7" x14ac:dyDescent="0.2">
      <c r="A132" s="15" t="s">
        <v>927</v>
      </c>
      <c r="B132" s="15">
        <v>19600626</v>
      </c>
      <c r="C132" s="15">
        <v>20261231</v>
      </c>
      <c r="D132" s="25" t="s">
        <v>93</v>
      </c>
      <c r="E132" s="19">
        <f>VLOOKUP( $A132, Sovereignty!$A$2:$L$510, 12, 0 )</f>
        <v>0</v>
      </c>
      <c r="F132" s="40"/>
      <c r="G132" s="38"/>
    </row>
    <row r="133" spans="1:7" x14ac:dyDescent="0.2">
      <c r="A133" s="15" t="s">
        <v>1146</v>
      </c>
      <c r="B133" s="15">
        <v>18820101</v>
      </c>
      <c r="C133" s="15">
        <v>19600626</v>
      </c>
      <c r="D133" s="25" t="s">
        <v>93</v>
      </c>
      <c r="E133" s="19">
        <f>VLOOKUP( $A133, Sovereignty!$A$2:$L$510, 12, 0 )</f>
        <v>0</v>
      </c>
      <c r="F133" s="40"/>
      <c r="G133" s="38"/>
    </row>
    <row r="134" spans="1:7" x14ac:dyDescent="0.2">
      <c r="A134" s="15" t="s">
        <v>1143</v>
      </c>
      <c r="B134" s="15">
        <v>18170101</v>
      </c>
      <c r="C134" s="15">
        <v>18820101</v>
      </c>
      <c r="D134" s="25" t="s">
        <v>93</v>
      </c>
      <c r="E134" s="19">
        <f>VLOOKUP( $A134, Sovereignty!$A$2:$L$510, 12, 0 )</f>
        <v>0</v>
      </c>
      <c r="F134" s="40"/>
      <c r="G134" s="38"/>
    </row>
    <row r="135" spans="1:7" x14ac:dyDescent="0.2">
      <c r="A135" s="15" t="s">
        <v>913</v>
      </c>
      <c r="B135" s="15">
        <v>19750706</v>
      </c>
      <c r="C135" s="15">
        <v>20261231</v>
      </c>
      <c r="D135" s="25" t="s">
        <v>35</v>
      </c>
      <c r="E135" s="19">
        <f>VLOOKUP( $A135, Sovereignty!$A$2:$L$510, 12, 0 )</f>
        <v>0</v>
      </c>
      <c r="F135" s="40"/>
      <c r="G135" s="38"/>
    </row>
    <row r="136" spans="1:7" x14ac:dyDescent="0.2">
      <c r="A136" s="15" t="s">
        <v>1141</v>
      </c>
      <c r="B136" s="15">
        <v>19120101</v>
      </c>
      <c r="C136" s="15">
        <v>19750706</v>
      </c>
      <c r="D136" s="25" t="s">
        <v>35</v>
      </c>
      <c r="E136" s="19">
        <f>VLOOKUP( $A136, Sovereignty!$A$2:$L$510, 12, 0 )</f>
        <v>0</v>
      </c>
      <c r="F136" s="40"/>
      <c r="G136" s="38"/>
    </row>
    <row r="137" spans="1:7" x14ac:dyDescent="0.2">
      <c r="A137" s="15" t="s">
        <v>916</v>
      </c>
      <c r="B137" s="15">
        <v>19680312</v>
      </c>
      <c r="C137" s="15">
        <v>20261231</v>
      </c>
      <c r="D137" s="25" t="s">
        <v>101</v>
      </c>
      <c r="E137" s="19">
        <f>VLOOKUP( $A137, Sovereignty!$A$2:$L$510, 12, 0 )</f>
        <v>0</v>
      </c>
      <c r="F137" s="40"/>
      <c r="G137" s="38"/>
    </row>
    <row r="138" spans="1:7" x14ac:dyDescent="0.2">
      <c r="A138" s="15" t="s">
        <v>1173</v>
      </c>
      <c r="B138" s="15">
        <v>18101203</v>
      </c>
      <c r="C138" s="15">
        <v>19680312</v>
      </c>
      <c r="D138" s="25" t="s">
        <v>101</v>
      </c>
      <c r="E138" s="19">
        <f>VLOOKUP( $A138, Sovereignty!$A$2:$L$510, 12, 0 )</f>
        <v>0</v>
      </c>
      <c r="F138" s="40"/>
      <c r="G138" s="38"/>
    </row>
    <row r="139" spans="1:7" x14ac:dyDescent="0.2">
      <c r="A139" s="15" t="s">
        <v>1176</v>
      </c>
      <c r="B139" s="15">
        <v>17150920</v>
      </c>
      <c r="C139" s="15">
        <v>18101203</v>
      </c>
      <c r="D139" s="25" t="s">
        <v>101</v>
      </c>
      <c r="E139" s="19">
        <f>VLOOKUP( $A139, Sovereignty!$A$2:$L$510, 12, 0 )</f>
        <v>0</v>
      </c>
      <c r="F139" s="40"/>
      <c r="G139" s="38"/>
    </row>
    <row r="140" spans="1:7" x14ac:dyDescent="0.2">
      <c r="A140" s="15" t="s">
        <v>2248</v>
      </c>
      <c r="B140" s="15">
        <v>19640706</v>
      </c>
      <c r="C140" s="15">
        <v>20261231</v>
      </c>
      <c r="D140" s="25" t="s">
        <v>94</v>
      </c>
      <c r="E140" s="19">
        <f>VLOOKUP( $A140, Sovereignty!$A$2:$L$510, 12, 0 )</f>
        <v>0</v>
      </c>
      <c r="F140" s="40"/>
      <c r="G140" s="38"/>
    </row>
    <row r="141" spans="1:7" x14ac:dyDescent="0.2">
      <c r="A141" s="15" t="s">
        <v>1406</v>
      </c>
      <c r="B141" s="15">
        <v>19631231</v>
      </c>
      <c r="C141" s="15">
        <v>19640706</v>
      </c>
      <c r="D141" s="25" t="s">
        <v>94</v>
      </c>
      <c r="E141" s="19">
        <f>VLOOKUP( $A141, Sovereignty!$A$2:$L$510, 12, 0 )</f>
        <v>0</v>
      </c>
      <c r="F141" s="40"/>
      <c r="G141" s="38"/>
    </row>
    <row r="142" spans="1:7" x14ac:dyDescent="0.2">
      <c r="A142" s="15" t="s">
        <v>2473</v>
      </c>
      <c r="B142" s="15">
        <v>18930101</v>
      </c>
      <c r="C142" s="15">
        <v>19631231</v>
      </c>
      <c r="D142" s="25" t="s">
        <v>94</v>
      </c>
      <c r="E142" s="19">
        <f>VLOOKUP( $A142, Sovereignty!$A$2:$L$510, 12, 0 )</f>
        <v>0</v>
      </c>
      <c r="F142" s="40"/>
      <c r="G142" s="38"/>
    </row>
    <row r="143" spans="1:7" x14ac:dyDescent="0.2">
      <c r="A143" s="15" t="s">
        <v>914</v>
      </c>
      <c r="B143" s="15">
        <v>19620701</v>
      </c>
      <c r="C143" s="15">
        <v>20261231</v>
      </c>
      <c r="D143" s="25" t="s">
        <v>133</v>
      </c>
      <c r="E143" s="19">
        <f>VLOOKUP( $A143, Sovereignty!$A$2:$L$510, 12, 0 )</f>
        <v>0</v>
      </c>
      <c r="F143" s="40"/>
      <c r="G143" s="38"/>
    </row>
    <row r="144" spans="1:7" x14ac:dyDescent="0.2">
      <c r="A144" s="15" t="s">
        <v>1449</v>
      </c>
      <c r="B144" s="15">
        <v>19160506</v>
      </c>
      <c r="C144" s="15">
        <v>19620701</v>
      </c>
      <c r="D144" s="25" t="s">
        <v>133</v>
      </c>
      <c r="E144" s="19">
        <f>VLOOKUP( $A144, Sovereignty!$A$2:$L$510, 12, 0 )</f>
        <v>0</v>
      </c>
      <c r="F144" s="40"/>
      <c r="G144" s="38"/>
    </row>
    <row r="145" spans="1:7" x14ac:dyDescent="0.2">
      <c r="A145" s="15" t="s">
        <v>1158</v>
      </c>
      <c r="B145" s="15">
        <v>18850227</v>
      </c>
      <c r="C145" s="15">
        <v>19160904</v>
      </c>
      <c r="D145" s="25" t="s">
        <v>2478</v>
      </c>
      <c r="E145" s="19">
        <f>VLOOKUP( $A145, Sovereignty!$A$2:$L$510, 12, 0 )</f>
        <v>0</v>
      </c>
      <c r="F145" s="40"/>
      <c r="G145" s="38"/>
    </row>
    <row r="146" spans="1:7" x14ac:dyDescent="0.2">
      <c r="A146" s="15" t="s">
        <v>936</v>
      </c>
      <c r="B146" s="15">
        <v>19620701</v>
      </c>
      <c r="C146" s="15">
        <v>20261231</v>
      </c>
      <c r="D146" s="25" t="s">
        <v>26</v>
      </c>
      <c r="E146" s="19">
        <f>VLOOKUP( $A146, Sovereignty!$A$2:$L$510, 12, 0 )</f>
        <v>0</v>
      </c>
      <c r="F146" s="40"/>
      <c r="G146" s="38"/>
    </row>
    <row r="147" spans="1:7" x14ac:dyDescent="0.2">
      <c r="A147" s="15" t="s">
        <v>1455</v>
      </c>
      <c r="B147" s="15">
        <v>19631231</v>
      </c>
      <c r="C147" s="15">
        <v>20261231</v>
      </c>
      <c r="D147" s="25" t="s">
        <v>79</v>
      </c>
      <c r="E147" s="19">
        <f>VLOOKUP( $A147, Sovereignty!$A$2:$L$510, 12, 0 )</f>
        <v>0</v>
      </c>
      <c r="F147" s="40"/>
      <c r="G147" s="38"/>
    </row>
    <row r="148" spans="1:7" x14ac:dyDescent="0.2">
      <c r="A148" s="15" t="s">
        <v>1171</v>
      </c>
      <c r="B148" s="15">
        <v>19200723</v>
      </c>
      <c r="C148" s="15">
        <v>19631231</v>
      </c>
      <c r="D148" s="25" t="s">
        <v>79</v>
      </c>
      <c r="E148" s="19">
        <f>VLOOKUP( $A148, Sovereignty!$A$2:$L$510, 12, 0 )</f>
        <v>0</v>
      </c>
      <c r="F148" s="40"/>
      <c r="G148" s="38"/>
    </row>
    <row r="149" spans="1:7" x14ac:dyDescent="0.2">
      <c r="A149" s="15" t="s">
        <v>1454</v>
      </c>
      <c r="B149" s="15">
        <v>18950701</v>
      </c>
      <c r="C149" s="15">
        <v>19200723</v>
      </c>
      <c r="D149" s="25" t="s">
        <v>79</v>
      </c>
      <c r="E149" s="19">
        <f>VLOOKUP( $A149, Sovereignty!$A$2:$L$510, 12, 0 )</f>
        <v>0</v>
      </c>
      <c r="F149" s="40"/>
      <c r="G149" s="38"/>
    </row>
    <row r="150" spans="1:7" x14ac:dyDescent="0.2">
      <c r="A150" s="15" t="s">
        <v>1457</v>
      </c>
      <c r="B150" s="15">
        <v>19621009</v>
      </c>
      <c r="C150" s="15">
        <v>20261231</v>
      </c>
      <c r="D150" s="25" t="s">
        <v>170</v>
      </c>
      <c r="E150" s="19">
        <f>VLOOKUP( $A150, Sovereignty!$A$2:$L$510, 12, 0 )</f>
        <v>0</v>
      </c>
      <c r="F150" s="40"/>
      <c r="G150" s="38"/>
    </row>
    <row r="151" spans="1:7" x14ac:dyDescent="0.2">
      <c r="A151" s="15" t="s">
        <v>1458</v>
      </c>
      <c r="B151" s="15">
        <v>18940618</v>
      </c>
      <c r="C151" s="15">
        <v>19621009</v>
      </c>
      <c r="D151" s="25" t="s">
        <v>170</v>
      </c>
      <c r="E151" s="19">
        <f>VLOOKUP( $A151, Sovereignty!$A$2:$L$510, 12, 0 )</f>
        <v>0</v>
      </c>
      <c r="F151" s="40"/>
      <c r="G151" s="38"/>
    </row>
    <row r="152" spans="1:7" x14ac:dyDescent="0.2">
      <c r="A152" s="15" t="s">
        <v>926</v>
      </c>
      <c r="B152" s="15">
        <v>20110709</v>
      </c>
      <c r="C152" s="15">
        <v>20261231</v>
      </c>
      <c r="D152" s="41" t="s">
        <v>2492</v>
      </c>
      <c r="E152" s="19">
        <f>VLOOKUP( $A152, Sovereignty!$A$2:$L$510, 12, 0 )</f>
        <v>0</v>
      </c>
      <c r="F152" s="40"/>
      <c r="G152" s="38"/>
    </row>
    <row r="153" spans="1:7" x14ac:dyDescent="0.2">
      <c r="A153" s="15" t="s">
        <v>926</v>
      </c>
      <c r="B153" s="15">
        <v>19560101</v>
      </c>
      <c r="C153" s="15">
        <v>20110709</v>
      </c>
      <c r="D153" s="25" t="s">
        <v>2480</v>
      </c>
      <c r="E153" s="19">
        <f>VLOOKUP( $A153, Sovereignty!$A$2:$L$510, 12, 0 )</f>
        <v>0</v>
      </c>
      <c r="F153" s="40"/>
      <c r="G153" s="38"/>
    </row>
    <row r="154" spans="1:7" x14ac:dyDescent="0.2">
      <c r="A154" s="15" t="s">
        <v>1463</v>
      </c>
      <c r="B154" s="15">
        <v>18990619</v>
      </c>
      <c r="C154" s="15">
        <v>19560101</v>
      </c>
      <c r="D154" s="25" t="s">
        <v>2480</v>
      </c>
      <c r="E154" s="19">
        <f>VLOOKUP( $A154, Sovereignty!$A$2:$L$510, 12, 0 )</f>
        <v>0</v>
      </c>
      <c r="F154" s="40"/>
      <c r="G154" s="38"/>
    </row>
    <row r="155" spans="1:7" x14ac:dyDescent="0.2">
      <c r="A155" s="15" t="s">
        <v>929</v>
      </c>
      <c r="B155" s="15">
        <v>20110709</v>
      </c>
      <c r="C155" s="15">
        <v>20261231</v>
      </c>
      <c r="D155" s="25" t="s">
        <v>1469</v>
      </c>
      <c r="E155" s="19">
        <f>VLOOKUP( $A155, Sovereignty!$A$2:$L$510, 12, 0 )</f>
        <v>0</v>
      </c>
      <c r="F155" s="40"/>
      <c r="G155" s="38"/>
    </row>
    <row r="156" spans="1:7" x14ac:dyDescent="0.2">
      <c r="A156" s="15" t="s">
        <v>1470</v>
      </c>
      <c r="B156" s="15">
        <v>19610929</v>
      </c>
      <c r="C156" s="15">
        <v>20261231</v>
      </c>
      <c r="D156" s="25" t="s">
        <v>47</v>
      </c>
      <c r="E156" s="19">
        <f>VLOOKUP( $A156, Sovereignty!$A$2:$L$510, 12, 0 )</f>
        <v>0</v>
      </c>
      <c r="F156" s="40"/>
      <c r="G156" s="38"/>
    </row>
    <row r="157" spans="1:7" x14ac:dyDescent="0.2">
      <c r="A157" s="15" t="s">
        <v>1245</v>
      </c>
      <c r="B157" s="15">
        <v>19580222</v>
      </c>
      <c r="C157" s="15">
        <v>19610929</v>
      </c>
      <c r="D157" s="25" t="s">
        <v>2481</v>
      </c>
      <c r="E157" s="19">
        <f>VLOOKUP( $A157, Sovereignty!$A$2:$L$510, 12, 0 )</f>
        <v>0</v>
      </c>
      <c r="F157" s="40"/>
      <c r="G157" s="38"/>
    </row>
    <row r="158" spans="1:7" x14ac:dyDescent="0.2">
      <c r="A158" s="15" t="s">
        <v>920</v>
      </c>
      <c r="B158" s="15">
        <v>19220228</v>
      </c>
      <c r="C158" s="15">
        <v>19580222</v>
      </c>
      <c r="D158" s="25" t="s">
        <v>47</v>
      </c>
      <c r="E158" s="19">
        <f>VLOOKUP( $A158, Sovereignty!$A$2:$L$510, 12, 0 )</f>
        <v>0</v>
      </c>
      <c r="F158" s="40"/>
      <c r="G158" s="38"/>
    </row>
    <row r="159" spans="1:7" x14ac:dyDescent="0.2">
      <c r="A159" s="15" t="s">
        <v>1241</v>
      </c>
      <c r="B159" s="15">
        <v>19141219</v>
      </c>
      <c r="C159" s="15">
        <v>19220228</v>
      </c>
      <c r="D159" s="25" t="s">
        <v>47</v>
      </c>
      <c r="E159" s="19">
        <f>VLOOKUP( $A159, Sovereignty!$A$2:$L$510, 12, 0 )</f>
        <v>0</v>
      </c>
      <c r="F159" s="40"/>
      <c r="G159" s="38"/>
    </row>
    <row r="160" spans="1:7" x14ac:dyDescent="0.2">
      <c r="A160" s="15" t="s">
        <v>1240</v>
      </c>
      <c r="B160" s="15">
        <v>18050101</v>
      </c>
      <c r="C160" s="15">
        <v>19141219</v>
      </c>
      <c r="D160" s="25" t="s">
        <v>47</v>
      </c>
      <c r="E160" s="19">
        <f>VLOOKUP( $A160, Sovereignty!$A$2:$L$510, 12, 0 )</f>
        <v>0</v>
      </c>
      <c r="F160" s="40"/>
      <c r="G160" s="38"/>
    </row>
    <row r="161" spans="1:7" x14ac:dyDescent="0.2">
      <c r="A161" s="15" t="s">
        <v>911</v>
      </c>
      <c r="B161" s="15">
        <v>19511224</v>
      </c>
      <c r="C161" s="15">
        <v>20261231</v>
      </c>
      <c r="D161" s="41" t="s">
        <v>89</v>
      </c>
      <c r="E161" s="19">
        <f>VLOOKUP( $A161, Sovereignty!$A$2:$L$510, 12, 0 )</f>
        <v>0</v>
      </c>
      <c r="F161" s="40"/>
      <c r="G161" s="38"/>
    </row>
    <row r="162" spans="1:7" x14ac:dyDescent="0.2">
      <c r="A162" s="15" t="s">
        <v>1476</v>
      </c>
      <c r="B162" s="15">
        <v>19430513</v>
      </c>
      <c r="C162" s="15">
        <v>19511224</v>
      </c>
      <c r="D162" s="41" t="s">
        <v>2483</v>
      </c>
      <c r="E162" s="19">
        <f>VLOOKUP( $A162, Sovereignty!$A$2:$L$510, 12, 0 )</f>
        <v>0</v>
      </c>
      <c r="F162" s="40"/>
      <c r="G162" s="38"/>
    </row>
    <row r="163" spans="1:7" x14ac:dyDescent="0.2">
      <c r="A163" s="15" t="s">
        <v>1477</v>
      </c>
      <c r="B163" s="15">
        <v>19430513</v>
      </c>
      <c r="C163" s="15">
        <v>19511224</v>
      </c>
      <c r="D163" s="41" t="s">
        <v>2484</v>
      </c>
      <c r="E163" s="19">
        <f>VLOOKUP( $A163, Sovereignty!$A$2:$L$510, 12, 0 )</f>
        <v>0</v>
      </c>
      <c r="F163" s="40"/>
      <c r="G163" s="38"/>
    </row>
    <row r="164" spans="1:7" x14ac:dyDescent="0.2">
      <c r="A164" s="15" t="s">
        <v>1478</v>
      </c>
      <c r="B164" s="15">
        <v>19340101</v>
      </c>
      <c r="C164" s="15">
        <v>19430513</v>
      </c>
      <c r="D164" s="41" t="s">
        <v>89</v>
      </c>
      <c r="E164" s="19">
        <f>VLOOKUP( $A164, Sovereignty!$A$2:$L$510, 12, 0 )</f>
        <v>0</v>
      </c>
      <c r="F164" s="40"/>
      <c r="G164" s="38"/>
    </row>
    <row r="165" spans="1:7" x14ac:dyDescent="0.2">
      <c r="A165" s="15" t="s">
        <v>1127</v>
      </c>
      <c r="B165" s="15">
        <v>19111111</v>
      </c>
      <c r="C165" s="15">
        <v>19340101</v>
      </c>
      <c r="D165" s="25" t="s">
        <v>1484</v>
      </c>
      <c r="E165" s="19">
        <f>VLOOKUP( $A165, Sovereignty!$A$2:$L$510, 12, 0 )</f>
        <v>0</v>
      </c>
      <c r="F165" s="40"/>
      <c r="G165" s="38"/>
    </row>
    <row r="166" spans="1:7" x14ac:dyDescent="0.2">
      <c r="A166" s="15" t="s">
        <v>1126</v>
      </c>
      <c r="B166" s="15">
        <v>19111111</v>
      </c>
      <c r="C166" s="15">
        <v>19340101</v>
      </c>
      <c r="D166" s="41" t="s">
        <v>2482</v>
      </c>
      <c r="E166" s="19">
        <f>VLOOKUP( $A166, Sovereignty!$A$2:$L$510, 12, 0 )</f>
        <v>0</v>
      </c>
      <c r="F166" s="42"/>
      <c r="G166" s="38"/>
    </row>
    <row r="167" spans="1:7" x14ac:dyDescent="0.2">
      <c r="A167" s="15" t="s">
        <v>924</v>
      </c>
      <c r="B167" s="15">
        <v>19560320</v>
      </c>
      <c r="C167" s="15">
        <v>20261231</v>
      </c>
      <c r="D167" s="25" t="s">
        <v>166</v>
      </c>
      <c r="E167" s="19">
        <f>VLOOKUP( $A167, Sovereignty!$A$2:$L$510, 12, 0 )</f>
        <v>0</v>
      </c>
      <c r="F167" s="42"/>
      <c r="G167" s="38"/>
    </row>
    <row r="168" spans="1:7" x14ac:dyDescent="0.2">
      <c r="A168" s="15" t="s">
        <v>1228</v>
      </c>
      <c r="B168" s="15">
        <v>18810512</v>
      </c>
      <c r="C168" s="15">
        <v>19560320</v>
      </c>
      <c r="D168" s="25" t="s">
        <v>166</v>
      </c>
      <c r="E168" s="19">
        <f>VLOOKUP( $A168, Sovereignty!$A$2:$L$510, 12, 0 )</f>
        <v>0</v>
      </c>
      <c r="F168" s="42"/>
      <c r="G168" s="38"/>
    </row>
    <row r="169" spans="1:7" x14ac:dyDescent="0.2">
      <c r="A169" s="15" t="s">
        <v>921</v>
      </c>
      <c r="B169" s="15">
        <v>19620705</v>
      </c>
      <c r="C169" s="15">
        <v>20261231</v>
      </c>
      <c r="D169" s="25" t="s">
        <v>2</v>
      </c>
      <c r="E169" s="19">
        <f>VLOOKUP( $A169, Sovereignty!$A$2:$L$510, 12, 0 )</f>
        <v>0</v>
      </c>
      <c r="F169" s="42"/>
      <c r="G169" s="38"/>
    </row>
    <row r="170" spans="1:7" x14ac:dyDescent="0.2">
      <c r="A170" s="15" t="s">
        <v>1237</v>
      </c>
      <c r="B170" s="15">
        <v>18300705</v>
      </c>
      <c r="C170" s="15">
        <v>19620705</v>
      </c>
      <c r="D170" s="25" t="s">
        <v>2</v>
      </c>
      <c r="E170" s="19">
        <f>VLOOKUP( $A170, Sovereignty!$A$2:$L$510, 12, 0 )</f>
        <v>0</v>
      </c>
      <c r="F170" s="42"/>
      <c r="G170" s="38"/>
    </row>
    <row r="171" spans="1:7" x14ac:dyDescent="0.2">
      <c r="A171" s="15" t="s">
        <v>932</v>
      </c>
      <c r="B171" s="15">
        <v>19560407</v>
      </c>
      <c r="C171" s="15">
        <v>20261231</v>
      </c>
      <c r="D171" s="41" t="s">
        <v>2486</v>
      </c>
      <c r="E171" s="19">
        <f>VLOOKUP( $A171, Sovereignty!$A$2:$L$510, 12, 0 )</f>
        <v>0</v>
      </c>
      <c r="F171" s="42"/>
      <c r="G171" s="38"/>
    </row>
    <row r="172" spans="1:7" x14ac:dyDescent="0.2">
      <c r="A172" s="15" t="s">
        <v>1233</v>
      </c>
      <c r="B172" s="15">
        <v>19120330</v>
      </c>
      <c r="C172" s="15">
        <v>19560407</v>
      </c>
      <c r="D172" s="41" t="s">
        <v>2485</v>
      </c>
      <c r="E172" s="19">
        <f>VLOOKUP( $A172, Sovereignty!$A$2:$L$510, 12, 0 )</f>
        <v>0</v>
      </c>
      <c r="F172" s="42"/>
      <c r="G172" s="38"/>
    </row>
    <row r="173" spans="1:7" x14ac:dyDescent="0.2">
      <c r="A173" s="15" t="s">
        <v>1232</v>
      </c>
      <c r="B173" s="15">
        <v>19121127</v>
      </c>
      <c r="C173" s="15">
        <v>19560407</v>
      </c>
      <c r="D173" s="25" t="s">
        <v>1490</v>
      </c>
      <c r="E173" s="19">
        <f>VLOOKUP( $A173, Sovereignty!$A$2:$L$510, 12, 0 )</f>
        <v>0</v>
      </c>
      <c r="F173" s="42"/>
      <c r="G173" s="38"/>
    </row>
    <row r="174" spans="1:7" x14ac:dyDescent="0.2">
      <c r="A174" s="15" t="s">
        <v>2496</v>
      </c>
      <c r="B174" s="19">
        <v>18841226</v>
      </c>
      <c r="C174" s="19">
        <v>19751114</v>
      </c>
      <c r="D174" s="44" t="s">
        <v>2505</v>
      </c>
      <c r="E174" s="19">
        <f>VLOOKUP( $A174, Sovereignty!$A$2:$L$510, 12, 0 )</f>
        <v>0</v>
      </c>
      <c r="F174" s="42"/>
      <c r="G174" s="38"/>
    </row>
    <row r="175" spans="1:7" x14ac:dyDescent="0.2">
      <c r="A175" s="15" t="s">
        <v>2497</v>
      </c>
      <c r="B175" s="19">
        <v>19751114</v>
      </c>
      <c r="C175" s="19">
        <v>20261231</v>
      </c>
      <c r="D175" s="44" t="s">
        <v>2505</v>
      </c>
      <c r="E175" s="19">
        <f>VLOOKUP( $A175, Sovereignty!$A$2:$L$510, 12, 0 )</f>
        <v>0</v>
      </c>
      <c r="F175" s="42"/>
      <c r="G175" s="38"/>
    </row>
    <row r="176" spans="1:7" x14ac:dyDescent="0.2">
      <c r="A176" s="15" t="s">
        <v>2363</v>
      </c>
      <c r="B176" s="15">
        <v>19460319</v>
      </c>
      <c r="C176" s="15">
        <v>20261231</v>
      </c>
      <c r="D176" s="25" t="s">
        <v>773</v>
      </c>
      <c r="E176" s="19">
        <f>VLOOKUP( $A176, Sovereignty!$A$2:$L$510, 12, 0 )</f>
        <v>0</v>
      </c>
      <c r="F176" s="38"/>
      <c r="G176" s="38"/>
    </row>
    <row r="177" spans="1:10" x14ac:dyDescent="0.2">
      <c r="A177" s="15" t="s">
        <v>884</v>
      </c>
      <c r="B177" s="15">
        <v>18410101</v>
      </c>
      <c r="C177" s="15">
        <v>20261231</v>
      </c>
      <c r="D177" s="25" t="s">
        <v>774</v>
      </c>
      <c r="E177" s="19">
        <f>VLOOKUP( $A177, Sovereignty!$A$2:$L$510, 12, 0 )</f>
        <v>0</v>
      </c>
      <c r="F177" s="38"/>
      <c r="G177" s="38"/>
    </row>
    <row r="178" spans="1:10" x14ac:dyDescent="0.2">
      <c r="A178" s="15" t="s">
        <v>1520</v>
      </c>
      <c r="B178" s="15">
        <v>15170413</v>
      </c>
      <c r="C178" s="15">
        <v>18050101</v>
      </c>
      <c r="D178" s="25" t="s">
        <v>47</v>
      </c>
      <c r="E178" s="19">
        <f>VLOOKUP( $A178, Sovereignty!$A$2:$L$510, 12, 0 )</f>
        <v>0</v>
      </c>
      <c r="F178" s="38"/>
      <c r="G178" s="38"/>
    </row>
    <row r="179" spans="1:10" x14ac:dyDescent="0.2">
      <c r="A179" s="15" t="s">
        <v>1125</v>
      </c>
      <c r="B179" s="15">
        <v>15510101</v>
      </c>
      <c r="C179" s="15">
        <v>19111111</v>
      </c>
      <c r="D179" s="41" t="s">
        <v>89</v>
      </c>
      <c r="E179" s="19">
        <f>VLOOKUP( $A179, Sovereignty!$A$2:$L$510, 12, 0 )</f>
        <v>0</v>
      </c>
      <c r="F179" s="38"/>
      <c r="G179" s="38"/>
    </row>
    <row r="180" spans="1:10" x14ac:dyDescent="0.2">
      <c r="A180" s="15" t="s">
        <v>1523</v>
      </c>
      <c r="B180" s="15">
        <v>15740101</v>
      </c>
      <c r="C180" s="15">
        <v>18810512</v>
      </c>
      <c r="D180" s="25" t="s">
        <v>166</v>
      </c>
      <c r="E180" s="19">
        <f>VLOOKUP( $A180, Sovereignty!$A$2:$L$510, 12, 0 )</f>
        <v>0</v>
      </c>
      <c r="F180" s="38"/>
      <c r="G180" s="38"/>
    </row>
    <row r="181" spans="1:10" x14ac:dyDescent="0.2">
      <c r="A181" s="15" t="s">
        <v>1525</v>
      </c>
      <c r="B181" s="15">
        <v>15160101</v>
      </c>
      <c r="C181" s="15">
        <v>18300705</v>
      </c>
      <c r="D181" s="25" t="s">
        <v>2</v>
      </c>
      <c r="E181" s="19">
        <f>VLOOKUP( $A181, Sovereignty!$A$2:$L$510, 12, 0 )</f>
        <v>0</v>
      </c>
      <c r="F181" s="38"/>
      <c r="G181" s="38"/>
    </row>
    <row r="182" spans="1:10" x14ac:dyDescent="0.2">
      <c r="A182" s="15" t="s">
        <v>820</v>
      </c>
      <c r="B182" s="15">
        <v>18220907</v>
      </c>
      <c r="C182" s="15">
        <v>20261231</v>
      </c>
      <c r="D182" s="25" t="s">
        <v>2435</v>
      </c>
      <c r="E182" s="19" t="str">
        <f>VLOOKUP( $A182, Sovereignty!$A$2:$L$510, 12, 0 )</f>
        <v>x</v>
      </c>
      <c r="F182" s="40" t="s">
        <v>624</v>
      </c>
      <c r="G182" s="40" t="s">
        <v>624</v>
      </c>
      <c r="I182" s="16" t="s">
        <v>2428</v>
      </c>
      <c r="J182" s="40" t="s">
        <v>624</v>
      </c>
    </row>
    <row r="183" spans="1:10" x14ac:dyDescent="0.2">
      <c r="A183" s="15" t="s">
        <v>821</v>
      </c>
      <c r="B183" s="15">
        <v>18151216</v>
      </c>
      <c r="C183" s="15">
        <v>18220907</v>
      </c>
      <c r="D183" s="25" t="s">
        <v>2435</v>
      </c>
      <c r="E183" s="19" t="str">
        <f>VLOOKUP( $A183, Sovereignty!$A$2:$L$510, 12, 0 )</f>
        <v>x</v>
      </c>
      <c r="F183" s="40" t="s">
        <v>624</v>
      </c>
      <c r="G183" s="40" t="s">
        <v>624</v>
      </c>
      <c r="I183" s="25" t="s">
        <v>2444</v>
      </c>
      <c r="J183" s="40" t="s">
        <v>624</v>
      </c>
    </row>
    <row r="184" spans="1:10" x14ac:dyDescent="0.2">
      <c r="A184" s="15" t="s">
        <v>819</v>
      </c>
      <c r="B184" s="15">
        <v>15490101</v>
      </c>
      <c r="C184" s="15">
        <v>18151216</v>
      </c>
      <c r="D184" s="25" t="s">
        <v>2435</v>
      </c>
      <c r="E184" s="19" t="str">
        <f>VLOOKUP( $A184, Sovereignty!$A$2:$L$510, 12, 0 )</f>
        <v>x</v>
      </c>
      <c r="F184" s="40" t="s">
        <v>624</v>
      </c>
      <c r="G184" s="40" t="s">
        <v>624</v>
      </c>
      <c r="I184" s="25" t="s">
        <v>2445</v>
      </c>
      <c r="J184" s="40" t="s">
        <v>624</v>
      </c>
    </row>
    <row r="185" spans="1:10" x14ac:dyDescent="0.2">
      <c r="A185" s="15" t="s">
        <v>2377</v>
      </c>
      <c r="B185" s="15">
        <v>18250825</v>
      </c>
      <c r="C185" s="15">
        <v>20261231</v>
      </c>
      <c r="D185" s="25" t="s">
        <v>2437</v>
      </c>
      <c r="E185" s="19" t="str">
        <f>VLOOKUP( $A185, Sovereignty!$A$2:$L$510, 12, 0 )</f>
        <v>x</v>
      </c>
      <c r="F185" s="40" t="s">
        <v>624</v>
      </c>
      <c r="G185" s="40" t="s">
        <v>624</v>
      </c>
      <c r="I185" s="25" t="s">
        <v>2447</v>
      </c>
      <c r="J185" s="40" t="s">
        <v>624</v>
      </c>
    </row>
    <row r="186" spans="1:10" x14ac:dyDescent="0.2">
      <c r="A186" s="15" t="s">
        <v>790</v>
      </c>
      <c r="B186" s="15">
        <v>18170120</v>
      </c>
      <c r="C186" s="15">
        <v>18250825</v>
      </c>
      <c r="D186" s="25" t="s">
        <v>2437</v>
      </c>
      <c r="E186" s="19" t="str">
        <f>VLOOKUP( $A186, Sovereignty!$A$2:$L$510, 12, 0 )</f>
        <v>x</v>
      </c>
      <c r="F186" s="40" t="s">
        <v>624</v>
      </c>
      <c r="G186" s="40" t="s">
        <v>624</v>
      </c>
      <c r="I186" s="16" t="s">
        <v>2427</v>
      </c>
      <c r="J186" s="40" t="s">
        <v>624</v>
      </c>
    </row>
    <row r="187" spans="1:10" x14ac:dyDescent="0.2">
      <c r="A187" s="15" t="s">
        <v>2342</v>
      </c>
      <c r="B187" s="15">
        <v>18110514</v>
      </c>
      <c r="C187" s="15">
        <v>18160709</v>
      </c>
      <c r="D187" s="25" t="s">
        <v>2427</v>
      </c>
      <c r="E187" s="19" t="str">
        <f>VLOOKUP( $A187, Sovereignty!$A$2:$L$510, 12, 0 )</f>
        <v>x</v>
      </c>
      <c r="F187" s="40" t="s">
        <v>624</v>
      </c>
      <c r="G187" s="40" t="s">
        <v>624</v>
      </c>
      <c r="I187" s="25" t="s">
        <v>2432</v>
      </c>
      <c r="J187" s="40" t="s">
        <v>624</v>
      </c>
    </row>
    <row r="188" spans="1:10" x14ac:dyDescent="0.2">
      <c r="A188" s="15" t="s">
        <v>2342</v>
      </c>
      <c r="B188" s="15">
        <v>18100525</v>
      </c>
      <c r="C188" s="15">
        <v>18110514</v>
      </c>
      <c r="D188" s="25" t="s">
        <v>2429</v>
      </c>
      <c r="E188" s="19" t="str">
        <f>VLOOKUP( $A188, Sovereignty!$A$2:$L$510, 12, 0 )</f>
        <v>x</v>
      </c>
      <c r="F188" s="40" t="s">
        <v>624</v>
      </c>
      <c r="G188" s="40" t="s">
        <v>624</v>
      </c>
      <c r="I188" s="25" t="s">
        <v>2433</v>
      </c>
      <c r="J188" s="40" t="s">
        <v>624</v>
      </c>
    </row>
    <row r="189" spans="1:10" x14ac:dyDescent="0.2">
      <c r="A189" s="15" t="s">
        <v>791</v>
      </c>
      <c r="B189" s="15">
        <v>17760801</v>
      </c>
      <c r="C189" s="15">
        <v>18100525</v>
      </c>
      <c r="D189" s="25" t="s">
        <v>2429</v>
      </c>
      <c r="E189" s="19" t="str">
        <f>VLOOKUP( $A189, Sovereignty!$A$2:$L$510, 12, 0 )</f>
        <v>x</v>
      </c>
      <c r="F189" s="40" t="s">
        <v>624</v>
      </c>
      <c r="G189" s="40" t="s">
        <v>624</v>
      </c>
      <c r="I189" s="25" t="s">
        <v>2434</v>
      </c>
      <c r="J189" s="40" t="s">
        <v>624</v>
      </c>
    </row>
    <row r="190" spans="1:10" x14ac:dyDescent="0.2">
      <c r="A190" s="15" t="s">
        <v>813</v>
      </c>
      <c r="B190" s="15">
        <v>18110514</v>
      </c>
      <c r="C190" s="15">
        <v>20261231</v>
      </c>
      <c r="D190" s="25" t="s">
        <v>2436</v>
      </c>
      <c r="E190" s="19" t="str">
        <f>VLOOKUP( $A190, Sovereignty!$A$2:$L$510, 12, 0 )</f>
        <v>x</v>
      </c>
      <c r="F190" s="40" t="s">
        <v>624</v>
      </c>
      <c r="G190" s="40" t="s">
        <v>624</v>
      </c>
      <c r="I190" s="25" t="s">
        <v>2425</v>
      </c>
      <c r="J190" s="40" t="s">
        <v>624</v>
      </c>
    </row>
    <row r="191" spans="1:10" x14ac:dyDescent="0.2">
      <c r="A191" s="15" t="s">
        <v>816</v>
      </c>
      <c r="B191" s="15">
        <v>18830101</v>
      </c>
      <c r="C191" s="15">
        <v>20261231</v>
      </c>
      <c r="D191" s="25" t="s">
        <v>2432</v>
      </c>
      <c r="E191" s="19" t="str">
        <f>VLOOKUP( $A191, Sovereignty!$A$2:$L$510, 12, 0 )</f>
        <v>x</v>
      </c>
      <c r="F191" s="40" t="s">
        <v>624</v>
      </c>
      <c r="G191" s="40" t="s">
        <v>624</v>
      </c>
      <c r="I191" s="25" t="s">
        <v>2435</v>
      </c>
      <c r="J191" s="40" t="s">
        <v>624</v>
      </c>
    </row>
    <row r="192" spans="1:10" x14ac:dyDescent="0.2">
      <c r="A192" s="15" t="s">
        <v>816</v>
      </c>
      <c r="B192" s="15">
        <v>18250806</v>
      </c>
      <c r="C192" s="15">
        <v>18830101</v>
      </c>
      <c r="D192" s="25" t="s">
        <v>2433</v>
      </c>
      <c r="E192" s="19" t="str">
        <f>VLOOKUP( $A192, Sovereignty!$A$2:$L$510, 12, 0 )</f>
        <v>x</v>
      </c>
      <c r="F192" s="40" t="s">
        <v>624</v>
      </c>
      <c r="G192" s="40" t="s">
        <v>624</v>
      </c>
      <c r="I192" s="16" t="s">
        <v>2418</v>
      </c>
      <c r="J192" s="40" t="s">
        <v>624</v>
      </c>
    </row>
    <row r="193" spans="1:10" x14ac:dyDescent="0.2">
      <c r="A193" s="15" t="s">
        <v>816</v>
      </c>
      <c r="B193" s="15">
        <v>18170120</v>
      </c>
      <c r="C193" s="15">
        <v>18250806</v>
      </c>
      <c r="D193" s="25" t="s">
        <v>2428</v>
      </c>
      <c r="E193" s="19" t="str">
        <f>VLOOKUP( $A193, Sovereignty!$A$2:$L$510, 12, 0 )</f>
        <v>x</v>
      </c>
      <c r="F193" s="40" t="s">
        <v>624</v>
      </c>
      <c r="G193" s="40" t="s">
        <v>624</v>
      </c>
      <c r="I193" s="25" t="s">
        <v>2438</v>
      </c>
      <c r="J193" s="40" t="s">
        <v>624</v>
      </c>
    </row>
    <row r="194" spans="1:10" x14ac:dyDescent="0.2">
      <c r="A194" s="15" t="s">
        <v>816</v>
      </c>
      <c r="B194" s="15">
        <v>18160709</v>
      </c>
      <c r="C194" s="15">
        <v>18170120</v>
      </c>
      <c r="D194" s="25" t="s">
        <v>2427</v>
      </c>
      <c r="E194" s="19" t="str">
        <f>VLOOKUP( $A194, Sovereignty!$A$2:$L$510, 12, 0 )</f>
        <v>x</v>
      </c>
      <c r="F194" s="40" t="s">
        <v>624</v>
      </c>
      <c r="G194" s="40" t="s">
        <v>624</v>
      </c>
      <c r="I194" s="16" t="s">
        <v>2121</v>
      </c>
      <c r="J194" s="40" t="s">
        <v>624</v>
      </c>
    </row>
    <row r="195" spans="1:10" x14ac:dyDescent="0.2">
      <c r="A195" s="15" t="s">
        <v>869</v>
      </c>
      <c r="B195" s="15">
        <v>18330103</v>
      </c>
      <c r="C195" s="15">
        <v>20261231</v>
      </c>
      <c r="D195" s="25" t="s">
        <v>1640</v>
      </c>
      <c r="E195" s="19" t="str">
        <f>VLOOKUP( $A195, Sovereignty!$A$2:$L$510, 12, 0 )</f>
        <v>x</v>
      </c>
      <c r="F195" s="40" t="s">
        <v>624</v>
      </c>
      <c r="G195" s="40" t="s">
        <v>624</v>
      </c>
      <c r="I195" s="25" t="s">
        <v>2446</v>
      </c>
      <c r="J195" s="40" t="s">
        <v>624</v>
      </c>
    </row>
    <row r="196" spans="1:10" x14ac:dyDescent="0.2">
      <c r="A196" s="15" t="s">
        <v>817</v>
      </c>
      <c r="B196" s="15">
        <v>18830101</v>
      </c>
      <c r="C196" s="15">
        <v>20261231</v>
      </c>
      <c r="D196" s="25" t="s">
        <v>2434</v>
      </c>
      <c r="E196" s="19" t="str">
        <f>VLOOKUP( $A196, Sovereignty!$A$2:$L$510, 12, 0 )</f>
        <v>x</v>
      </c>
      <c r="F196" s="40" t="s">
        <v>624</v>
      </c>
      <c r="G196" s="40" t="s">
        <v>624</v>
      </c>
      <c r="I196" s="25" t="s">
        <v>2439</v>
      </c>
      <c r="J196" s="40" t="s">
        <v>624</v>
      </c>
    </row>
    <row r="197" spans="1:10" x14ac:dyDescent="0.2">
      <c r="A197" s="15" t="s">
        <v>817</v>
      </c>
      <c r="B197" s="15">
        <v>18250806</v>
      </c>
      <c r="C197" s="15">
        <v>18830101</v>
      </c>
      <c r="D197" s="25" t="s">
        <v>2425</v>
      </c>
      <c r="E197" s="19" t="str">
        <f>VLOOKUP( $A197, Sovereignty!$A$2:$L$510, 12, 0 )</f>
        <v>x</v>
      </c>
      <c r="F197" s="40" t="s">
        <v>624</v>
      </c>
      <c r="G197" s="40" t="s">
        <v>624</v>
      </c>
      <c r="I197" s="16" t="s">
        <v>1640</v>
      </c>
      <c r="J197" s="40" t="s">
        <v>624</v>
      </c>
    </row>
    <row r="198" spans="1:10" x14ac:dyDescent="0.2">
      <c r="A198" s="15" t="s">
        <v>796</v>
      </c>
      <c r="B198" s="15">
        <v>18830101</v>
      </c>
      <c r="C198" s="15">
        <v>20261231</v>
      </c>
      <c r="D198" s="25" t="s">
        <v>2431</v>
      </c>
      <c r="E198" s="19" t="str">
        <f>VLOOKUP( $A198, Sovereignty!$A$2:$L$510, 12, 0 )</f>
        <v>x</v>
      </c>
      <c r="F198" s="40" t="s">
        <v>624</v>
      </c>
      <c r="G198" s="40" t="s">
        <v>624</v>
      </c>
      <c r="I198" s="16" t="s">
        <v>2360</v>
      </c>
      <c r="J198" s="40" t="s">
        <v>624</v>
      </c>
    </row>
    <row r="199" spans="1:10" x14ac:dyDescent="0.2">
      <c r="A199" s="15" t="s">
        <v>796</v>
      </c>
      <c r="B199" s="15">
        <v>18180212</v>
      </c>
      <c r="C199" s="15">
        <v>18830101</v>
      </c>
      <c r="D199" s="25" t="s">
        <v>2424</v>
      </c>
      <c r="E199" s="19" t="str">
        <f>VLOOKUP( $A199, Sovereignty!$A$2:$L$510, 12, 0 )</f>
        <v>x</v>
      </c>
      <c r="F199" s="40" t="s">
        <v>624</v>
      </c>
      <c r="G199" s="40" t="s">
        <v>624</v>
      </c>
      <c r="I199" s="25" t="s">
        <v>2440</v>
      </c>
      <c r="J199" s="40" t="s">
        <v>624</v>
      </c>
    </row>
    <row r="200" spans="1:10" x14ac:dyDescent="0.2">
      <c r="A200" s="15" t="s">
        <v>795</v>
      </c>
      <c r="B200" s="15">
        <v>15410101</v>
      </c>
      <c r="C200" s="15">
        <v>18180212</v>
      </c>
      <c r="D200" s="25" t="s">
        <v>2424</v>
      </c>
      <c r="E200" s="19" t="str">
        <f>VLOOKUP( $A200, Sovereignty!$A$2:$L$510, 12, 0 )</f>
        <v>x</v>
      </c>
      <c r="F200" s="40" t="s">
        <v>624</v>
      </c>
      <c r="G200" s="40" t="s">
        <v>624</v>
      </c>
      <c r="I200" s="15" t="s">
        <v>2431</v>
      </c>
      <c r="J200" s="40" t="s">
        <v>624</v>
      </c>
    </row>
    <row r="201" spans="1:10" x14ac:dyDescent="0.2">
      <c r="A201" s="15" t="s">
        <v>799</v>
      </c>
      <c r="B201" s="15">
        <v>18210728</v>
      </c>
      <c r="C201" s="15">
        <v>20261231</v>
      </c>
      <c r="D201" s="25" t="s">
        <v>2441</v>
      </c>
      <c r="E201" s="19" t="str">
        <f>VLOOKUP( $A201, Sovereignty!$A$2:$L$510, 12, 0 )</f>
        <v>x</v>
      </c>
      <c r="F201" s="40" t="s">
        <v>624</v>
      </c>
      <c r="G201" s="40" t="s">
        <v>624</v>
      </c>
      <c r="I201" s="15" t="s">
        <v>2436</v>
      </c>
      <c r="J201" s="40" t="s">
        <v>624</v>
      </c>
    </row>
    <row r="202" spans="1:10" x14ac:dyDescent="0.2">
      <c r="A202" s="15" t="s">
        <v>793</v>
      </c>
      <c r="B202" s="15">
        <v>17760801</v>
      </c>
      <c r="C202" s="15">
        <v>18210728</v>
      </c>
      <c r="D202" s="25" t="s">
        <v>2441</v>
      </c>
      <c r="E202" s="19" t="str">
        <f>VLOOKUP( $A202, Sovereignty!$A$2:$L$510, 12, 0 )</f>
        <v>x</v>
      </c>
      <c r="F202" s="40" t="s">
        <v>624</v>
      </c>
      <c r="G202" s="40" t="s">
        <v>624</v>
      </c>
      <c r="I202" s="15" t="s">
        <v>2441</v>
      </c>
      <c r="J202" s="40" t="s">
        <v>624</v>
      </c>
    </row>
    <row r="203" spans="1:10" x14ac:dyDescent="0.2">
      <c r="A203" s="15" t="s">
        <v>793</v>
      </c>
      <c r="B203" s="15">
        <v>17170527</v>
      </c>
      <c r="C203" s="15">
        <v>17760801</v>
      </c>
      <c r="D203" s="25" t="s">
        <v>2426</v>
      </c>
      <c r="E203" s="19" t="str">
        <f>VLOOKUP( $A203, Sovereignty!$A$2:$L$510, 12, 0 )</f>
        <v>x</v>
      </c>
      <c r="F203" s="40" t="s">
        <v>624</v>
      </c>
      <c r="G203" s="40" t="s">
        <v>624</v>
      </c>
      <c r="I203" s="15" t="s">
        <v>2424</v>
      </c>
      <c r="J203" s="40" t="s">
        <v>624</v>
      </c>
    </row>
    <row r="204" spans="1:10" x14ac:dyDescent="0.2">
      <c r="A204" s="15" t="s">
        <v>793</v>
      </c>
      <c r="B204" s="15">
        <v>15421120</v>
      </c>
      <c r="C204" s="15">
        <v>17170527</v>
      </c>
      <c r="D204" s="25" t="s">
        <v>2447</v>
      </c>
      <c r="E204" s="19" t="str">
        <f>VLOOKUP( $A204, Sovereignty!$A$2:$L$510, 12, 0 )</f>
        <v>x</v>
      </c>
      <c r="F204" s="40" t="s">
        <v>624</v>
      </c>
      <c r="G204" s="40" t="s">
        <v>624</v>
      </c>
      <c r="I204" s="15" t="s">
        <v>2442</v>
      </c>
      <c r="J204" s="40" t="s">
        <v>624</v>
      </c>
    </row>
    <row r="205" spans="1:10" x14ac:dyDescent="0.2">
      <c r="A205" s="15" t="s">
        <v>810</v>
      </c>
      <c r="B205" s="15">
        <v>18300503</v>
      </c>
      <c r="C205" s="15">
        <v>20261231</v>
      </c>
      <c r="D205" s="25" t="s">
        <v>2439</v>
      </c>
      <c r="E205" s="19" t="str">
        <f>VLOOKUP( $A205, Sovereignty!$A$2:$L$510, 12, 0 )</f>
        <v>x</v>
      </c>
      <c r="F205" s="40" t="s">
        <v>624</v>
      </c>
      <c r="G205" s="40" t="s">
        <v>624</v>
      </c>
      <c r="I205" s="16" t="s">
        <v>2420</v>
      </c>
      <c r="J205" s="40" t="s">
        <v>624</v>
      </c>
    </row>
    <row r="206" spans="1:10" x14ac:dyDescent="0.2">
      <c r="A206" s="15" t="s">
        <v>806</v>
      </c>
      <c r="B206" s="15">
        <v>19031106</v>
      </c>
      <c r="C206" s="15">
        <v>20261231</v>
      </c>
      <c r="D206" s="25" t="s">
        <v>2438</v>
      </c>
      <c r="E206" s="19" t="str">
        <f>VLOOKUP( $A206, Sovereignty!$A$2:$L$510, 12, 0 )</f>
        <v>x</v>
      </c>
      <c r="F206" s="40" t="s">
        <v>624</v>
      </c>
      <c r="G206" s="40" t="s">
        <v>624</v>
      </c>
      <c r="I206" s="25" t="s">
        <v>2437</v>
      </c>
      <c r="J206" s="40" t="s">
        <v>624</v>
      </c>
    </row>
    <row r="207" spans="1:10" x14ac:dyDescent="0.2">
      <c r="A207" s="15" t="s">
        <v>806</v>
      </c>
      <c r="B207" s="15">
        <v>18300503</v>
      </c>
      <c r="C207" s="15">
        <v>19031106</v>
      </c>
      <c r="D207" s="25" t="s">
        <v>2121</v>
      </c>
      <c r="E207" s="19" t="str">
        <f>VLOOKUP( $A207, Sovereignty!$A$2:$L$510, 12, 0 )</f>
        <v>x</v>
      </c>
      <c r="F207" s="40" t="s">
        <v>624</v>
      </c>
      <c r="G207" s="40" t="s">
        <v>624</v>
      </c>
      <c r="I207" s="25" t="s">
        <v>2443</v>
      </c>
      <c r="J207" s="40" t="s">
        <v>624</v>
      </c>
    </row>
    <row r="208" spans="1:10" x14ac:dyDescent="0.2">
      <c r="A208" s="15" t="s">
        <v>806</v>
      </c>
      <c r="B208" s="15">
        <v>18300113</v>
      </c>
      <c r="C208" s="15">
        <v>18300503</v>
      </c>
      <c r="D208" s="25" t="s">
        <v>2418</v>
      </c>
      <c r="E208" s="19" t="str">
        <f>VLOOKUP( $A208, Sovereignty!$A$2:$L$510, 12, 0 )</f>
        <v>x</v>
      </c>
      <c r="F208" s="40" t="s">
        <v>624</v>
      </c>
      <c r="G208" s="40" t="s">
        <v>624</v>
      </c>
    </row>
    <row r="209" spans="1:7" x14ac:dyDescent="0.2">
      <c r="A209" s="15" t="s">
        <v>806</v>
      </c>
      <c r="B209" s="15">
        <v>18191217</v>
      </c>
      <c r="C209" s="15">
        <v>18300113</v>
      </c>
      <c r="D209" s="25" t="s">
        <v>2446</v>
      </c>
      <c r="E209" s="19" t="str">
        <f>VLOOKUP( $A209, Sovereignty!$A$2:$L$510, 12, 0 )</f>
        <v>x</v>
      </c>
      <c r="F209" s="40" t="s">
        <v>624</v>
      </c>
      <c r="G209" s="40" t="s">
        <v>624</v>
      </c>
    </row>
    <row r="210" spans="1:7" x14ac:dyDescent="0.2">
      <c r="A210" s="15" t="s">
        <v>2120</v>
      </c>
      <c r="B210" s="15">
        <v>17170527</v>
      </c>
      <c r="C210" s="15">
        <v>18191217</v>
      </c>
      <c r="D210" s="25" t="s">
        <v>2446</v>
      </c>
      <c r="E210" s="19" t="str">
        <f>VLOOKUP( $A210, Sovereignty!$A$2:$L$510, 12, 0 )</f>
        <v>x</v>
      </c>
      <c r="F210" s="40" t="s">
        <v>624</v>
      </c>
      <c r="G210" s="40" t="s">
        <v>624</v>
      </c>
    </row>
    <row r="211" spans="1:7" x14ac:dyDescent="0.2">
      <c r="A211" s="15" t="s">
        <v>811</v>
      </c>
      <c r="B211" s="15">
        <v>18300113</v>
      </c>
      <c r="C211" s="15">
        <v>20261231</v>
      </c>
      <c r="D211" s="25" t="s">
        <v>2443</v>
      </c>
      <c r="E211" s="19" t="str">
        <f>VLOOKUP( $A211, Sovereignty!$A$2:$L$510, 12, 0 )</f>
        <v>x</v>
      </c>
      <c r="F211" s="40" t="s">
        <v>624</v>
      </c>
      <c r="G211" s="40" t="s">
        <v>624</v>
      </c>
    </row>
    <row r="212" spans="1:7" x14ac:dyDescent="0.2">
      <c r="A212" s="15" t="s">
        <v>802</v>
      </c>
      <c r="B212" s="15">
        <v>19660526</v>
      </c>
      <c r="C212" s="15">
        <v>20261231</v>
      </c>
      <c r="D212" s="25" t="s">
        <v>2440</v>
      </c>
      <c r="E212" s="19" t="str">
        <f>VLOOKUP( $A212, Sovereignty!$A$2:$L$510, 12, 0 )</f>
        <v>x</v>
      </c>
      <c r="F212" s="40" t="s">
        <v>624</v>
      </c>
      <c r="G212" s="40" t="s">
        <v>624</v>
      </c>
    </row>
    <row r="213" spans="1:7" x14ac:dyDescent="0.2">
      <c r="A213" s="15" t="s">
        <v>801</v>
      </c>
      <c r="B213" s="15">
        <v>18310721</v>
      </c>
      <c r="C213" s="15">
        <v>19660526</v>
      </c>
      <c r="D213" s="25" t="s">
        <v>2440</v>
      </c>
      <c r="E213" s="19" t="str">
        <f>VLOOKUP( $A213, Sovereignty!$A$2:$L$510, 12, 0 )</f>
        <v>x</v>
      </c>
      <c r="F213" s="40" t="s">
        <v>624</v>
      </c>
      <c r="G213" s="40" t="s">
        <v>624</v>
      </c>
    </row>
    <row r="214" spans="1:7" x14ac:dyDescent="0.2">
      <c r="A214" s="15" t="s">
        <v>787</v>
      </c>
      <c r="B214" s="15">
        <v>19751125</v>
      </c>
      <c r="C214" s="15">
        <v>20261231</v>
      </c>
      <c r="D214" s="25" t="s">
        <v>2442</v>
      </c>
      <c r="E214" s="19" t="str">
        <f>VLOOKUP( $A214, Sovereignty!$A$2:$L$510, 12, 0 )</f>
        <v>x</v>
      </c>
      <c r="F214" s="40" t="s">
        <v>624</v>
      </c>
      <c r="G214" s="40" t="s">
        <v>624</v>
      </c>
    </row>
    <row r="215" spans="1:7" x14ac:dyDescent="0.2">
      <c r="A215" s="15" t="s">
        <v>786</v>
      </c>
      <c r="B215" s="15">
        <v>19541215</v>
      </c>
      <c r="C215" s="15">
        <v>19751125</v>
      </c>
      <c r="D215" s="25" t="s">
        <v>2442</v>
      </c>
      <c r="E215" s="19" t="str">
        <f>VLOOKUP( $A215, Sovereignty!$A$2:$L$510, 12, 0 )</f>
        <v>x</v>
      </c>
      <c r="F215" s="40" t="s">
        <v>624</v>
      </c>
      <c r="G215" s="40" t="s">
        <v>624</v>
      </c>
    </row>
    <row r="216" spans="1:7" x14ac:dyDescent="0.2">
      <c r="A216" s="15" t="s">
        <v>2356</v>
      </c>
      <c r="B216" s="15">
        <v>18310721</v>
      </c>
      <c r="C216" s="15">
        <v>19541215</v>
      </c>
      <c r="D216" s="25" t="s">
        <v>2442</v>
      </c>
      <c r="E216" s="19" t="str">
        <f>VLOOKUP( $A216, Sovereignty!$A$2:$L$510, 12, 0 )</f>
        <v>x</v>
      </c>
    </row>
    <row r="217" spans="1:7" x14ac:dyDescent="0.2">
      <c r="A217" s="15" t="s">
        <v>2356</v>
      </c>
      <c r="B217" s="15">
        <v>16670731</v>
      </c>
      <c r="C217" s="15">
        <v>18310721</v>
      </c>
      <c r="D217" s="25" t="s">
        <v>2420</v>
      </c>
      <c r="E217" s="19" t="str">
        <f>VLOOKUP( $A217, Sovereignty!$A$2:$L$510, 12, 0 )</f>
        <v>x</v>
      </c>
    </row>
    <row r="218" spans="1:7" x14ac:dyDescent="0.2">
      <c r="A218" s="15" t="s">
        <v>2359</v>
      </c>
      <c r="B218" s="15">
        <v>16430926</v>
      </c>
      <c r="C218" s="15">
        <v>20261231</v>
      </c>
      <c r="D218" s="25" t="s">
        <v>2360</v>
      </c>
      <c r="E218" s="19" t="str">
        <f>VLOOKUP( $A218, Sovereignty!$A$2:$L$510, 12, 0 )</f>
        <v>x</v>
      </c>
    </row>
    <row r="219" spans="1:7" x14ac:dyDescent="0.2">
      <c r="A219" s="15" t="s">
        <v>668</v>
      </c>
      <c r="B219" s="15">
        <v>19650809</v>
      </c>
      <c r="C219" s="15">
        <v>20261231</v>
      </c>
      <c r="D219" s="25" t="s">
        <v>144</v>
      </c>
      <c r="E219" s="19">
        <f>VLOOKUP( $A219, Sovereignty!$A$2:$L$510, 12, 0 )</f>
        <v>0</v>
      </c>
      <c r="F219" s="38"/>
      <c r="G219" s="38"/>
    </row>
    <row r="220" spans="1:7" x14ac:dyDescent="0.2">
      <c r="A220" s="15" t="s">
        <v>669</v>
      </c>
      <c r="B220" s="15">
        <v>19630831</v>
      </c>
      <c r="C220" s="15">
        <v>19650809</v>
      </c>
      <c r="D220" s="25" t="s">
        <v>144</v>
      </c>
      <c r="E220" s="19">
        <f>VLOOKUP( $A220, Sovereignty!$A$2:$L$510, 12, 0 )</f>
        <v>0</v>
      </c>
      <c r="F220" s="38"/>
      <c r="G220" s="38"/>
    </row>
    <row r="221" spans="1:7" x14ac:dyDescent="0.2">
      <c r="A221" s="15" t="s">
        <v>670</v>
      </c>
      <c r="B221" s="15">
        <v>19460401</v>
      </c>
      <c r="C221" s="15">
        <v>19630831</v>
      </c>
      <c r="D221" s="25" t="s">
        <v>144</v>
      </c>
      <c r="E221" s="19">
        <f>VLOOKUP( $A221, Sovereignty!$A$2:$L$510, 12, 0 )</f>
        <v>0</v>
      </c>
      <c r="F221" s="38"/>
      <c r="G221" s="38"/>
    </row>
    <row r="222" spans="1:7" x14ac:dyDescent="0.2">
      <c r="A222" s="15" t="s">
        <v>1493</v>
      </c>
      <c r="B222" s="15">
        <v>18260101</v>
      </c>
      <c r="C222" s="15">
        <v>19460401</v>
      </c>
      <c r="D222" s="25" t="s">
        <v>144</v>
      </c>
      <c r="E222" s="19">
        <f>VLOOKUP( $A222, Sovereignty!$A$2:$L$510, 12, 0 )</f>
        <v>0</v>
      </c>
      <c r="F222" s="38"/>
      <c r="G222" s="38"/>
    </row>
    <row r="223" spans="1:7" x14ac:dyDescent="0.2">
      <c r="A223" s="15" t="s">
        <v>1501</v>
      </c>
      <c r="B223" s="15">
        <v>19221101</v>
      </c>
      <c r="C223" s="15">
        <v>20261231</v>
      </c>
      <c r="D223" s="25" t="s">
        <v>167</v>
      </c>
      <c r="E223" s="19">
        <f>VLOOKUP( $A223, Sovereignty!$A$2:$L$510, 12, 0 )</f>
        <v>0</v>
      </c>
      <c r="F223" s="38"/>
      <c r="G223" s="38"/>
    </row>
    <row r="224" spans="1:7" x14ac:dyDescent="0.2">
      <c r="A224" s="15" t="s">
        <v>1502</v>
      </c>
      <c r="B224" s="15">
        <v>14530529</v>
      </c>
      <c r="C224" s="15">
        <v>19221101</v>
      </c>
      <c r="D224" s="25" t="s">
        <v>167</v>
      </c>
      <c r="E224" s="19">
        <f>VLOOKUP( $A224, Sovereignty!$A$2:$L$510, 12, 0 )</f>
        <v>0</v>
      </c>
      <c r="F224" s="38"/>
      <c r="G224" s="38"/>
    </row>
    <row r="225" spans="1:7" x14ac:dyDescent="0.2">
      <c r="A225" s="15" t="s">
        <v>964</v>
      </c>
      <c r="B225" s="15">
        <v>19600816</v>
      </c>
      <c r="C225" s="15">
        <v>20261231</v>
      </c>
      <c r="D225" s="25" t="s">
        <v>238</v>
      </c>
      <c r="E225" s="19">
        <f>VLOOKUP( $A225, Sovereignty!$A$2:$L$510, 12, 0 )</f>
        <v>0</v>
      </c>
      <c r="F225" s="38"/>
      <c r="G225" s="38"/>
    </row>
    <row r="226" spans="1:7" x14ac:dyDescent="0.2">
      <c r="A226" s="15" t="s">
        <v>1508</v>
      </c>
      <c r="B226" s="15">
        <v>18780604</v>
      </c>
      <c r="C226" s="15">
        <v>19600816</v>
      </c>
      <c r="D226" s="25" t="s">
        <v>238</v>
      </c>
      <c r="E226" s="19">
        <f>VLOOKUP( $A226, Sovereignty!$A$2:$L$510, 12, 0 )</f>
        <v>0</v>
      </c>
      <c r="F226" s="38"/>
      <c r="G226" s="38"/>
    </row>
    <row r="227" spans="1:7" x14ac:dyDescent="0.2">
      <c r="A227" s="15" t="s">
        <v>1509</v>
      </c>
      <c r="B227" s="15">
        <v>15710801</v>
      </c>
      <c r="C227" s="15">
        <v>18780604</v>
      </c>
      <c r="D227" s="25" t="s">
        <v>238</v>
      </c>
      <c r="E227" s="19">
        <f>VLOOKUP( $A227, Sovereignty!$A$2:$L$510, 12, 0 )</f>
        <v>0</v>
      </c>
      <c r="F227" s="38"/>
      <c r="G227" s="38"/>
    </row>
    <row r="228" spans="1:7" x14ac:dyDescent="0.2">
      <c r="A228" s="15" t="s">
        <v>1513</v>
      </c>
      <c r="B228" s="15">
        <v>19610929</v>
      </c>
      <c r="C228" s="15">
        <v>20261231</v>
      </c>
      <c r="D228" s="25" t="s">
        <v>158</v>
      </c>
      <c r="E228" s="19">
        <f>VLOOKUP( $A228, Sovereignty!$A$2:$L$510, 12, 0 )</f>
        <v>0</v>
      </c>
      <c r="F228" s="38"/>
      <c r="G228" s="38"/>
    </row>
    <row r="229" spans="1:7" x14ac:dyDescent="0.2">
      <c r="A229" s="15" t="s">
        <v>1515</v>
      </c>
      <c r="B229" s="15">
        <v>19460417</v>
      </c>
      <c r="C229" s="15">
        <v>19580222</v>
      </c>
      <c r="D229" s="25" t="s">
        <v>158</v>
      </c>
      <c r="E229" s="19">
        <f>VLOOKUP( $A229, Sovereignty!$A$2:$L$510, 12, 0 )</f>
        <v>0</v>
      </c>
      <c r="F229" s="38"/>
      <c r="G229" s="38"/>
    </row>
    <row r="230" spans="1:7" x14ac:dyDescent="0.2">
      <c r="A230" s="15" t="s">
        <v>1514</v>
      </c>
      <c r="B230" s="15">
        <v>19230929</v>
      </c>
      <c r="C230" s="15">
        <v>19460417</v>
      </c>
      <c r="D230" s="25" t="s">
        <v>158</v>
      </c>
      <c r="E230" s="19">
        <f>VLOOKUP( $A230, Sovereignty!$A$2:$L$510, 12, 0 )</f>
        <v>0</v>
      </c>
      <c r="F230" s="38"/>
      <c r="G230" s="38"/>
    </row>
    <row r="231" spans="1:7" x14ac:dyDescent="0.2">
      <c r="A231" s="15" t="s">
        <v>960</v>
      </c>
      <c r="B231" s="15">
        <v>19431122</v>
      </c>
      <c r="C231" s="15">
        <v>20261231</v>
      </c>
      <c r="D231" s="25" t="s">
        <v>86</v>
      </c>
      <c r="E231" s="19">
        <f>VLOOKUP( $A231, Sovereignty!$A$2:$L$510, 12, 0 )</f>
        <v>0</v>
      </c>
      <c r="F231" s="38"/>
      <c r="G231" s="38"/>
    </row>
    <row r="232" spans="1:7" x14ac:dyDescent="0.2">
      <c r="A232" s="15" t="s">
        <v>954</v>
      </c>
      <c r="B232" s="15">
        <v>19480514</v>
      </c>
      <c r="C232" s="15">
        <v>20261231</v>
      </c>
      <c r="D232" s="25" t="s">
        <v>193</v>
      </c>
      <c r="E232" s="19">
        <f>VLOOKUP( $A232, Sovereignty!$A$2:$L$510, 12, 0 )</f>
        <v>0</v>
      </c>
      <c r="F232" s="38"/>
      <c r="G232" s="38"/>
    </row>
    <row r="233" spans="1:7" x14ac:dyDescent="0.2">
      <c r="A233" s="15" t="s">
        <v>1528</v>
      </c>
      <c r="B233" s="15">
        <v>19200425</v>
      </c>
      <c r="C233" s="15">
        <v>19480514</v>
      </c>
      <c r="D233" s="25" t="s">
        <v>1529</v>
      </c>
      <c r="E233" s="19">
        <f>VLOOKUP( $A233, Sovereignty!$A$2:$L$510, 12, 0 )</f>
        <v>0</v>
      </c>
      <c r="F233" s="38"/>
      <c r="G233" s="38"/>
    </row>
    <row r="234" spans="1:7" x14ac:dyDescent="0.2">
      <c r="A234" s="15" t="s">
        <v>1530</v>
      </c>
      <c r="B234" s="15">
        <v>15170101</v>
      </c>
      <c r="C234" s="15">
        <v>19200425</v>
      </c>
      <c r="D234" s="25" t="s">
        <v>287</v>
      </c>
      <c r="E234" s="19">
        <f>VLOOKUP( $A234, Sovereignty!$A$2:$L$510, 12, 0 )</f>
        <v>0</v>
      </c>
      <c r="F234" s="38"/>
      <c r="G234" s="38"/>
    </row>
    <row r="235" spans="1:7" x14ac:dyDescent="0.2">
      <c r="A235" s="15" t="s">
        <v>940</v>
      </c>
      <c r="B235" s="15">
        <v>19460525</v>
      </c>
      <c r="C235" s="15">
        <v>20261231</v>
      </c>
      <c r="D235" s="25" t="s">
        <v>77</v>
      </c>
      <c r="E235" s="19">
        <f>VLOOKUP( $A235, Sovereignty!$A$2:$L$510, 12, 0 )</f>
        <v>0</v>
      </c>
      <c r="F235" s="38"/>
      <c r="G235" s="38"/>
    </row>
    <row r="236" spans="1:7" x14ac:dyDescent="0.2">
      <c r="A236" s="15" t="s">
        <v>1535</v>
      </c>
      <c r="B236" s="15">
        <v>19210411</v>
      </c>
      <c r="C236" s="15">
        <v>19460525</v>
      </c>
      <c r="D236" s="25" t="s">
        <v>77</v>
      </c>
      <c r="E236" s="19">
        <f>VLOOKUP( $A236, Sovereignty!$A$2:$L$510, 12, 0 )</f>
        <v>0</v>
      </c>
      <c r="F236" s="38"/>
      <c r="G236" s="38"/>
    </row>
    <row r="237" spans="1:7" x14ac:dyDescent="0.2">
      <c r="A237" s="15" t="s">
        <v>2364</v>
      </c>
      <c r="B237" s="15">
        <v>17440101</v>
      </c>
      <c r="C237" s="15">
        <v>20261231</v>
      </c>
      <c r="D237" s="25" t="s">
        <v>140</v>
      </c>
      <c r="E237" s="19">
        <f>VLOOKUP( $A237, Sovereignty!$A$2:$L$510, 12, 0 )</f>
        <v>0</v>
      </c>
      <c r="F237" s="38"/>
      <c r="G237" s="38"/>
    </row>
    <row r="238" spans="1:7" x14ac:dyDescent="0.2">
      <c r="A238" s="15" t="s">
        <v>961</v>
      </c>
      <c r="B238" s="15">
        <v>19900522</v>
      </c>
      <c r="C238" s="15">
        <v>20261231</v>
      </c>
      <c r="D238" s="25" t="s">
        <v>180</v>
      </c>
      <c r="E238" s="19">
        <f>VLOOKUP( $A238, Sovereignty!$A$2:$L$510, 12, 0 )</f>
        <v>0</v>
      </c>
      <c r="F238" s="38"/>
      <c r="G238" s="38"/>
    </row>
    <row r="239" spans="1:7" x14ac:dyDescent="0.2">
      <c r="A239" s="15" t="s">
        <v>2367</v>
      </c>
      <c r="B239" s="15">
        <v>19630118</v>
      </c>
      <c r="C239" s="15">
        <v>19900522</v>
      </c>
      <c r="D239" s="25" t="s">
        <v>1566</v>
      </c>
      <c r="E239" s="19">
        <f>VLOOKUP( $A239, Sovereignty!$A$2:$L$510, 12, 0 )</f>
        <v>0</v>
      </c>
      <c r="F239" s="38"/>
      <c r="G239" s="38"/>
    </row>
    <row r="240" spans="1:7" x14ac:dyDescent="0.2">
      <c r="A240" s="15" t="s">
        <v>1553</v>
      </c>
      <c r="B240" s="15">
        <v>18720101</v>
      </c>
      <c r="C240" s="15">
        <v>19630118</v>
      </c>
      <c r="D240" s="25" t="s">
        <v>1566</v>
      </c>
      <c r="E240" s="19">
        <f>VLOOKUP( $A240, Sovereignty!$A$2:$L$510, 12, 0 )</f>
        <v>0</v>
      </c>
      <c r="F240" s="38"/>
      <c r="G240" s="38"/>
    </row>
    <row r="241" spans="1:7" x14ac:dyDescent="0.2">
      <c r="A241" s="15" t="s">
        <v>1550</v>
      </c>
      <c r="B241" s="15">
        <v>19620926</v>
      </c>
      <c r="C241" s="15">
        <v>19900522</v>
      </c>
      <c r="D241" s="25" t="s">
        <v>1567</v>
      </c>
      <c r="E241" s="19">
        <f>VLOOKUP( $A241, Sovereignty!$A$2:$L$510, 12, 0 )</f>
        <v>0</v>
      </c>
      <c r="F241" s="38"/>
      <c r="G241" s="38"/>
    </row>
    <row r="242" spans="1:7" x14ac:dyDescent="0.2">
      <c r="A242" s="15" t="s">
        <v>1550</v>
      </c>
      <c r="B242" s="15">
        <v>19181030</v>
      </c>
      <c r="C242" s="15">
        <v>19620926</v>
      </c>
      <c r="D242" s="25" t="s">
        <v>180</v>
      </c>
      <c r="E242" s="19">
        <f>VLOOKUP( $A242, Sovereignty!$A$2:$L$510, 12, 0 )</f>
        <v>0</v>
      </c>
      <c r="F242" s="38"/>
      <c r="G242" s="38"/>
    </row>
    <row r="243" spans="1:7" x14ac:dyDescent="0.2">
      <c r="A243" s="15" t="s">
        <v>1549</v>
      </c>
      <c r="B243" s="15">
        <v>18720101</v>
      </c>
      <c r="C243" s="15">
        <v>19181030</v>
      </c>
      <c r="D243" s="25" t="s">
        <v>180</v>
      </c>
      <c r="E243" s="19">
        <f>VLOOKUP( $A243, Sovereignty!$A$2:$L$510, 12, 0 )</f>
        <v>0</v>
      </c>
      <c r="F243" s="38"/>
      <c r="G243" s="38"/>
    </row>
    <row r="244" spans="1:7" x14ac:dyDescent="0.2">
      <c r="A244" s="15" t="s">
        <v>1547</v>
      </c>
      <c r="B244" s="15">
        <v>15970101</v>
      </c>
      <c r="C244" s="15">
        <v>18720101</v>
      </c>
      <c r="D244" s="25" t="s">
        <v>180</v>
      </c>
      <c r="E244" s="19">
        <f>VLOOKUP( $A244, Sovereignty!$A$2:$L$510, 12, 0 )</f>
        <v>0</v>
      </c>
      <c r="F244" s="38"/>
      <c r="G244" s="38"/>
    </row>
    <row r="245" spans="1:7" x14ac:dyDescent="0.2">
      <c r="A245" s="15" t="s">
        <v>945</v>
      </c>
      <c r="B245" s="15">
        <v>19661106</v>
      </c>
      <c r="C245" s="15">
        <v>20261231</v>
      </c>
      <c r="D245" s="25" t="s">
        <v>119</v>
      </c>
      <c r="E245" s="19">
        <f>VLOOKUP( $A245, Sovereignty!$A$2:$L$510, 12, 0 )</f>
        <v>0</v>
      </c>
      <c r="F245" s="38"/>
      <c r="G245" s="38"/>
    </row>
    <row r="246" spans="1:7" x14ac:dyDescent="0.2">
      <c r="A246" s="15" t="s">
        <v>1571</v>
      </c>
      <c r="B246" s="15">
        <v>18560101</v>
      </c>
      <c r="C246" s="15">
        <v>19661106</v>
      </c>
      <c r="D246" s="25" t="s">
        <v>119</v>
      </c>
      <c r="E246" s="19">
        <f>VLOOKUP( $A246, Sovereignty!$A$2:$L$510, 12, 0 )</f>
        <v>0</v>
      </c>
      <c r="F246" s="38"/>
      <c r="G246" s="38"/>
    </row>
    <row r="247" spans="1:7" x14ac:dyDescent="0.2">
      <c r="A247" s="15" t="s">
        <v>1568</v>
      </c>
      <c r="B247" s="15">
        <v>16960101</v>
      </c>
      <c r="C247" s="15">
        <v>18560101</v>
      </c>
      <c r="D247" s="25" t="s">
        <v>119</v>
      </c>
      <c r="E247" s="19">
        <f>VLOOKUP( $A247, Sovereignty!$A$2:$L$510, 12, 0 )</f>
        <v>0</v>
      </c>
      <c r="F247" s="38"/>
      <c r="G247" s="38"/>
    </row>
    <row r="248" spans="1:7" x14ac:dyDescent="0.2">
      <c r="A248" s="15" t="s">
        <v>947</v>
      </c>
      <c r="B248" s="15">
        <v>19711202</v>
      </c>
      <c r="C248" s="15">
        <v>20261231</v>
      </c>
      <c r="D248" s="25" t="s">
        <v>1580</v>
      </c>
      <c r="E248" s="19">
        <f>VLOOKUP( $A248, Sovereignty!$A$2:$L$510, 12, 0 )</f>
        <v>0</v>
      </c>
      <c r="F248" s="38"/>
      <c r="G248" s="38"/>
    </row>
    <row r="249" spans="1:7" x14ac:dyDescent="0.2">
      <c r="A249" s="15" t="s">
        <v>1577</v>
      </c>
      <c r="B249" s="15">
        <v>18200108</v>
      </c>
      <c r="C249" s="15">
        <v>19711202</v>
      </c>
      <c r="D249" s="25" t="s">
        <v>1580</v>
      </c>
      <c r="E249" s="19">
        <f>VLOOKUP( $A249, Sovereignty!$A$2:$L$510, 12, 0 )</f>
        <v>0</v>
      </c>
      <c r="F249" s="38"/>
      <c r="G249" s="38"/>
    </row>
    <row r="250" spans="1:7" x14ac:dyDescent="0.2">
      <c r="A250" s="15" t="s">
        <v>943</v>
      </c>
      <c r="B250" s="15">
        <v>19710903</v>
      </c>
      <c r="C250" s="15">
        <v>20261231</v>
      </c>
      <c r="D250" s="25" t="s">
        <v>129</v>
      </c>
      <c r="E250" s="19">
        <f>VLOOKUP( $A250, Sovereignty!$A$2:$L$510, 12, 0 )</f>
        <v>0</v>
      </c>
      <c r="F250" s="38"/>
      <c r="G250" s="38"/>
    </row>
    <row r="251" spans="1:7" x14ac:dyDescent="0.2">
      <c r="A251" s="15" t="s">
        <v>1582</v>
      </c>
      <c r="B251" s="15">
        <v>19161103</v>
      </c>
      <c r="C251" s="15">
        <v>19710903</v>
      </c>
      <c r="D251" s="25" t="s">
        <v>129</v>
      </c>
      <c r="E251" s="19">
        <f>VLOOKUP( $A251, Sovereignty!$A$2:$L$510, 12, 0 )</f>
        <v>0</v>
      </c>
      <c r="F251" s="38"/>
      <c r="G251" s="38"/>
    </row>
    <row r="252" spans="1:7" x14ac:dyDescent="0.2">
      <c r="A252" s="15" t="s">
        <v>939</v>
      </c>
      <c r="B252" s="15">
        <v>19710815</v>
      </c>
      <c r="C252" s="15">
        <v>20261231</v>
      </c>
      <c r="D252" s="25" t="s">
        <v>11</v>
      </c>
      <c r="E252" s="19">
        <f>VLOOKUP( $A252, Sovereignty!$A$2:$L$510, 12, 0 )</f>
        <v>0</v>
      </c>
      <c r="F252" s="38"/>
      <c r="G252" s="38"/>
    </row>
    <row r="253" spans="1:7" x14ac:dyDescent="0.2">
      <c r="A253" s="15" t="s">
        <v>1585</v>
      </c>
      <c r="B253" s="15">
        <v>18610531</v>
      </c>
      <c r="C253" s="15">
        <v>19710815</v>
      </c>
      <c r="D253" s="25" t="s">
        <v>11</v>
      </c>
      <c r="E253" s="19">
        <f>VLOOKUP( $A253, Sovereignty!$A$2:$L$510, 12, 0 )</f>
        <v>0</v>
      </c>
      <c r="F253" s="38"/>
      <c r="G253" s="38"/>
    </row>
    <row r="254" spans="1:7" x14ac:dyDescent="0.2">
      <c r="A254" s="15" t="s">
        <v>1584</v>
      </c>
      <c r="B254" s="15">
        <v>17830723</v>
      </c>
      <c r="C254" s="15">
        <v>18610531</v>
      </c>
      <c r="D254" s="25" t="s">
        <v>11</v>
      </c>
      <c r="E254" s="19">
        <f>VLOOKUP( $A254, Sovereignty!$A$2:$L$510, 12, 0 )</f>
        <v>0</v>
      </c>
      <c r="F254" s="38"/>
      <c r="G254" s="38"/>
    </row>
    <row r="255" spans="1:7" x14ac:dyDescent="0.2">
      <c r="A255" s="15" t="s">
        <v>677</v>
      </c>
      <c r="B255" s="15">
        <v>19610619</v>
      </c>
      <c r="C255" s="15">
        <v>20261231</v>
      </c>
      <c r="D255" s="25" t="s">
        <v>82</v>
      </c>
      <c r="E255" s="19">
        <f>VLOOKUP( $A255, Sovereignty!$A$2:$L$510, 12, 0 )</f>
        <v>0</v>
      </c>
      <c r="F255" s="38"/>
      <c r="G255" s="38"/>
    </row>
    <row r="256" spans="1:7" x14ac:dyDescent="0.2">
      <c r="A256" s="15" t="s">
        <v>679</v>
      </c>
      <c r="B256" s="15">
        <v>18990123</v>
      </c>
      <c r="C256" s="15">
        <v>19610619</v>
      </c>
      <c r="D256" s="25" t="s">
        <v>82</v>
      </c>
      <c r="E256" s="19">
        <f>VLOOKUP( $A256, Sovereignty!$A$2:$L$510, 12, 0 )</f>
        <v>0</v>
      </c>
      <c r="F256" s="38"/>
      <c r="G256" s="38"/>
    </row>
    <row r="257" spans="1:7" x14ac:dyDescent="0.2">
      <c r="A257" s="15" t="s">
        <v>1592</v>
      </c>
      <c r="B257" s="15">
        <v>17520101</v>
      </c>
      <c r="C257" s="15">
        <v>18990123</v>
      </c>
      <c r="D257" s="25" t="s">
        <v>82</v>
      </c>
      <c r="E257" s="19">
        <f>VLOOKUP( $A257, Sovereignty!$A$2:$L$510, 12, 0 )</f>
        <v>0</v>
      </c>
      <c r="F257" s="38"/>
      <c r="G257" s="38"/>
    </row>
    <row r="258" spans="1:7" x14ac:dyDescent="0.2">
      <c r="A258" s="15" t="s">
        <v>948</v>
      </c>
      <c r="B258" s="15">
        <v>19321003</v>
      </c>
      <c r="C258" s="15">
        <v>20261231</v>
      </c>
      <c r="D258" s="25" t="s">
        <v>72</v>
      </c>
      <c r="E258" s="19">
        <f>VLOOKUP( $A258, Sovereignty!$A$2:$L$510, 12, 0 )</f>
        <v>0</v>
      </c>
      <c r="F258" s="38"/>
      <c r="G258" s="38"/>
    </row>
    <row r="259" spans="1:7" x14ac:dyDescent="0.2">
      <c r="A259" s="15" t="s">
        <v>1597</v>
      </c>
      <c r="B259" s="15">
        <v>19200425</v>
      </c>
      <c r="C259" s="15">
        <v>19321003</v>
      </c>
      <c r="D259" s="25" t="s">
        <v>72</v>
      </c>
      <c r="E259" s="19">
        <f>VLOOKUP( $A259, Sovereignty!$A$2:$L$510, 12, 0 )</f>
        <v>0</v>
      </c>
      <c r="F259" s="38"/>
      <c r="G259" s="38"/>
    </row>
    <row r="260" spans="1:7" x14ac:dyDescent="0.2">
      <c r="A260" s="15" t="s">
        <v>1596</v>
      </c>
      <c r="B260" s="15">
        <v>15340101</v>
      </c>
      <c r="C260" s="15">
        <v>19200425</v>
      </c>
      <c r="D260" s="25" t="s">
        <v>72</v>
      </c>
      <c r="E260" s="19">
        <f>VLOOKUP( $A260, Sovereignty!$A$2:$L$510, 12, 0 )</f>
        <v>0</v>
      </c>
      <c r="F260" s="38"/>
      <c r="G260" s="38"/>
    </row>
    <row r="261" spans="1:7" x14ac:dyDescent="0.2">
      <c r="A261" s="15" t="s">
        <v>1642</v>
      </c>
      <c r="B261" s="15">
        <v>15010101</v>
      </c>
      <c r="C261" s="15">
        <v>20261231</v>
      </c>
      <c r="D261" s="25" t="s">
        <v>71</v>
      </c>
      <c r="E261" s="19">
        <f>VLOOKUP( $A261, Sovereignty!$A$2:$L$510, 12, 0 )</f>
        <v>0</v>
      </c>
      <c r="F261" s="38"/>
      <c r="G261" s="38"/>
    </row>
    <row r="262" spans="1:7" x14ac:dyDescent="0.2">
      <c r="A262" s="15" t="s">
        <v>1651</v>
      </c>
      <c r="B262" s="15">
        <v>17470601</v>
      </c>
      <c r="C262" s="15">
        <v>20261231</v>
      </c>
      <c r="D262" s="25" t="s">
        <v>0</v>
      </c>
      <c r="E262" s="19">
        <f>VLOOKUP( $A262, Sovereignty!$A$2:$L$510, 12, 0 )</f>
        <v>0</v>
      </c>
      <c r="F262" s="38"/>
      <c r="G262" s="38"/>
    </row>
    <row r="263" spans="1:7" x14ac:dyDescent="0.2">
      <c r="A263" s="15" t="s">
        <v>968</v>
      </c>
      <c r="B263" s="15">
        <v>19711216</v>
      </c>
      <c r="C263" s="15">
        <v>20261231</v>
      </c>
      <c r="D263" s="25" t="s">
        <v>120</v>
      </c>
      <c r="E263" s="19">
        <f>VLOOKUP( $A263, Sovereignty!$A$2:$L$510, 12, 0 )</f>
        <v>0</v>
      </c>
      <c r="F263" s="38"/>
      <c r="G263" s="38"/>
    </row>
    <row r="264" spans="1:7" x14ac:dyDescent="0.2">
      <c r="A264" s="15" t="s">
        <v>968</v>
      </c>
      <c r="B264" s="15">
        <v>19470814</v>
      </c>
      <c r="C264" s="15">
        <v>19711216</v>
      </c>
      <c r="D264" s="25" t="s">
        <v>1669</v>
      </c>
      <c r="E264" s="19">
        <f>VLOOKUP( $A264, Sovereignty!$A$2:$L$510, 12, 0 )</f>
        <v>0</v>
      </c>
      <c r="F264" s="38"/>
      <c r="G264" s="38"/>
    </row>
    <row r="265" spans="1:7" x14ac:dyDescent="0.2">
      <c r="A265" s="15" t="s">
        <v>2247</v>
      </c>
      <c r="B265" s="15">
        <v>19470815</v>
      </c>
      <c r="C265" s="15">
        <v>20261231</v>
      </c>
      <c r="D265" s="25" t="s">
        <v>69</v>
      </c>
      <c r="E265" s="19">
        <f>VLOOKUP( $A265, Sovereignty!$A$2:$L$510, 12, 0 )</f>
        <v>0</v>
      </c>
      <c r="F265" s="38"/>
      <c r="G265" s="38"/>
    </row>
    <row r="266" spans="1:7" x14ac:dyDescent="0.2">
      <c r="A266" s="15" t="s">
        <v>1664</v>
      </c>
      <c r="B266" s="15">
        <v>18580802</v>
      </c>
      <c r="C266" s="15">
        <v>19470815</v>
      </c>
      <c r="D266" s="25" t="s">
        <v>69</v>
      </c>
      <c r="E266" s="19">
        <f>VLOOKUP( $A266, Sovereignty!$A$2:$L$510, 12, 0 )</f>
        <v>0</v>
      </c>
      <c r="F266" s="38"/>
      <c r="G266" s="38"/>
    </row>
    <row r="267" spans="1:7" x14ac:dyDescent="0.2">
      <c r="A267" s="15" t="s">
        <v>1670</v>
      </c>
      <c r="B267" s="15">
        <v>17570623</v>
      </c>
      <c r="C267" s="15">
        <v>18580802</v>
      </c>
      <c r="D267" s="25" t="s">
        <v>69</v>
      </c>
      <c r="E267" s="19">
        <f>VLOOKUP( $A267, Sovereignty!$A$2:$L$510, 12, 0 )</f>
        <v>0</v>
      </c>
      <c r="F267" s="38"/>
      <c r="G267" s="38"/>
    </row>
    <row r="268" spans="1:7" x14ac:dyDescent="0.2">
      <c r="A268" s="15" t="s">
        <v>967</v>
      </c>
      <c r="B268" s="15">
        <v>19480204</v>
      </c>
      <c r="C268" s="15">
        <v>20261231</v>
      </c>
      <c r="D268" s="25" t="s">
        <v>1672</v>
      </c>
      <c r="E268" s="19">
        <f>VLOOKUP( $A268, Sovereignty!$A$2:$L$510, 12, 0 )</f>
        <v>0</v>
      </c>
      <c r="F268" s="38"/>
      <c r="G268" s="38"/>
    </row>
    <row r="269" spans="1:7" x14ac:dyDescent="0.2">
      <c r="A269" s="15" t="s">
        <v>1682</v>
      </c>
      <c r="B269" s="15">
        <v>18150302</v>
      </c>
      <c r="C269" s="15">
        <v>19480204</v>
      </c>
      <c r="D269" s="25" t="s">
        <v>1672</v>
      </c>
      <c r="E269" s="19">
        <f>VLOOKUP( $A269, Sovereignty!$A$2:$L$510, 12, 0 )</f>
        <v>0</v>
      </c>
      <c r="F269" s="38"/>
      <c r="G269" s="38"/>
    </row>
    <row r="270" spans="1:7" x14ac:dyDescent="0.2">
      <c r="A270" s="15" t="s">
        <v>1680</v>
      </c>
      <c r="B270" s="15">
        <v>14690101</v>
      </c>
      <c r="C270" s="15">
        <v>18150302</v>
      </c>
      <c r="D270" s="25" t="s">
        <v>1672</v>
      </c>
      <c r="E270" s="19">
        <f>VLOOKUP( $A270, Sovereignty!$A$2:$L$510, 12, 0 )</f>
        <v>0</v>
      </c>
      <c r="F270" s="38"/>
      <c r="G270" s="38"/>
    </row>
    <row r="271" spans="1:7" x14ac:dyDescent="0.2">
      <c r="A271" s="15" t="s">
        <v>942</v>
      </c>
      <c r="B271" s="15">
        <v>19650726</v>
      </c>
      <c r="C271" s="15">
        <v>20261231</v>
      </c>
      <c r="D271" s="25" t="s">
        <v>96</v>
      </c>
      <c r="E271" s="19">
        <f>VLOOKUP( $A271, Sovereignty!$A$2:$L$510, 12, 0 )</f>
        <v>0</v>
      </c>
      <c r="F271" s="38"/>
      <c r="G271" s="38"/>
    </row>
    <row r="272" spans="1:7" x14ac:dyDescent="0.2">
      <c r="A272" s="15" t="s">
        <v>1693</v>
      </c>
      <c r="B272" s="15">
        <v>17960101</v>
      </c>
      <c r="C272" s="15">
        <v>19650726</v>
      </c>
      <c r="D272" s="25" t="s">
        <v>96</v>
      </c>
      <c r="E272" s="19">
        <f>VLOOKUP( $A272, Sovereignty!$A$2:$L$510, 12, 0 )</f>
        <v>0</v>
      </c>
      <c r="F272" s="38"/>
      <c r="G272" s="38"/>
    </row>
    <row r="273" spans="1:7" x14ac:dyDescent="0.2">
      <c r="A273" s="15" t="s">
        <v>1689</v>
      </c>
      <c r="B273" s="15">
        <v>15730101</v>
      </c>
      <c r="C273" s="15">
        <v>17960101</v>
      </c>
      <c r="D273" s="25" t="s">
        <v>96</v>
      </c>
      <c r="E273" s="19">
        <f>VLOOKUP( $A273, Sovereignty!$A$2:$L$510, 12, 0 )</f>
        <v>0</v>
      </c>
      <c r="F273" s="38"/>
      <c r="G273" s="38"/>
    </row>
    <row r="274" spans="1:7" x14ac:dyDescent="0.2">
      <c r="A274" s="15" t="s">
        <v>963</v>
      </c>
      <c r="B274" s="15">
        <v>19711216</v>
      </c>
      <c r="C274" s="15">
        <v>20261231</v>
      </c>
      <c r="D274" s="25" t="s">
        <v>12</v>
      </c>
      <c r="E274" s="19">
        <f>VLOOKUP( $A274, Sovereignty!$A$2:$L$510, 12, 0 )</f>
        <v>0</v>
      </c>
      <c r="F274" s="38"/>
      <c r="G274" s="38"/>
    </row>
    <row r="275" spans="1:7" x14ac:dyDescent="0.2">
      <c r="A275" s="15" t="s">
        <v>1697</v>
      </c>
      <c r="B275" s="15">
        <v>17680925</v>
      </c>
      <c r="C275" s="15">
        <v>20261231</v>
      </c>
      <c r="D275" s="25" t="s">
        <v>111</v>
      </c>
      <c r="E275" s="19">
        <f>VLOOKUP( $A275, Sovereignty!$A$2:$L$510, 12, 0 )</f>
        <v>0</v>
      </c>
      <c r="F275" s="38"/>
      <c r="G275" s="38"/>
    </row>
    <row r="276" spans="1:7" x14ac:dyDescent="0.2">
      <c r="A276" s="15" t="s">
        <v>1701</v>
      </c>
      <c r="B276" s="15">
        <v>1616</v>
      </c>
      <c r="C276" s="15">
        <v>20261231</v>
      </c>
      <c r="D276" s="25" t="s">
        <v>18</v>
      </c>
      <c r="E276" s="19">
        <f>VLOOKUP( $A276, Sovereignty!$A$2:$L$510, 12, 0 )</f>
        <v>0</v>
      </c>
      <c r="F276" s="38"/>
      <c r="G276" s="38"/>
    </row>
    <row r="277" spans="1:7" x14ac:dyDescent="0.2">
      <c r="A277" s="15" t="s">
        <v>966</v>
      </c>
      <c r="B277" s="15">
        <v>19480104</v>
      </c>
      <c r="C277" s="15">
        <v>20261231</v>
      </c>
      <c r="D277" s="25" t="s">
        <v>108</v>
      </c>
      <c r="E277" s="19">
        <f>VLOOKUP( $A277, Sovereignty!$A$2:$L$510, 12, 0 )</f>
        <v>0</v>
      </c>
      <c r="F277" s="38"/>
      <c r="G277" s="38"/>
    </row>
    <row r="278" spans="1:7" x14ac:dyDescent="0.2">
      <c r="A278" s="15" t="s">
        <v>2365</v>
      </c>
      <c r="B278" s="15">
        <v>18851129</v>
      </c>
      <c r="C278" s="15">
        <v>19480104</v>
      </c>
      <c r="D278" s="25" t="s">
        <v>108</v>
      </c>
      <c r="E278" s="19">
        <f>VLOOKUP( $A278, Sovereignty!$A$2:$L$510, 12, 0 )</f>
        <v>0</v>
      </c>
      <c r="F278" s="38"/>
      <c r="G278" s="38"/>
    </row>
    <row r="279" spans="1:7" x14ac:dyDescent="0.2">
      <c r="A279" s="15" t="s">
        <v>1705</v>
      </c>
      <c r="B279" s="15">
        <v>17520229</v>
      </c>
      <c r="C279" s="15">
        <v>18851129</v>
      </c>
      <c r="D279" s="25" t="s">
        <v>108</v>
      </c>
      <c r="E279" s="19">
        <f>VLOOKUP( $A279, Sovereignty!$A$2:$L$510, 12, 0 )</f>
        <v>0</v>
      </c>
      <c r="F279" s="38"/>
      <c r="G279" s="38"/>
    </row>
    <row r="280" spans="1:7" x14ac:dyDescent="0.2">
      <c r="A280" s="15" t="s">
        <v>1723</v>
      </c>
      <c r="B280" s="15">
        <v>13510101</v>
      </c>
      <c r="C280" s="15">
        <v>20261231</v>
      </c>
      <c r="D280" s="25" t="s">
        <v>162</v>
      </c>
      <c r="E280" s="19">
        <f>VLOOKUP( $A280, Sovereignty!$A$2:$L$510, 12, 0 )</f>
        <v>0</v>
      </c>
      <c r="F280" s="38"/>
      <c r="G280" s="38"/>
    </row>
    <row r="281" spans="1:7" x14ac:dyDescent="0.2">
      <c r="A281" s="15" t="s">
        <v>962</v>
      </c>
      <c r="B281" s="15">
        <v>19630916</v>
      </c>
      <c r="C281" s="15">
        <v>20261231</v>
      </c>
      <c r="D281" s="25" t="s">
        <v>95</v>
      </c>
      <c r="E281" s="19">
        <f>VLOOKUP( $A281, Sovereignty!$A$2:$L$510, 12, 0 )</f>
        <v>0</v>
      </c>
      <c r="F281" s="38"/>
      <c r="G281" s="38"/>
    </row>
    <row r="282" spans="1:7" x14ac:dyDescent="0.2">
      <c r="A282" s="15" t="s">
        <v>1737</v>
      </c>
      <c r="B282" s="15">
        <v>18880614</v>
      </c>
      <c r="C282" s="15">
        <v>19630916</v>
      </c>
      <c r="D282" s="25" t="s">
        <v>1755</v>
      </c>
      <c r="E282" s="19">
        <f>VLOOKUP( $A282, Sovereignty!$A$2:$L$510, 12, 0 )</f>
        <v>0</v>
      </c>
      <c r="F282" s="38"/>
      <c r="G282" s="38"/>
    </row>
    <row r="283" spans="1:7" x14ac:dyDescent="0.2">
      <c r="A283" s="15" t="s">
        <v>1736</v>
      </c>
      <c r="B283" s="15">
        <v>18410924</v>
      </c>
      <c r="C283" s="15">
        <v>18880614</v>
      </c>
      <c r="D283" s="25" t="s">
        <v>1755</v>
      </c>
      <c r="E283" s="19">
        <f>VLOOKUP( $A283, Sovereignty!$A$2:$L$510, 12, 0 )</f>
        <v>0</v>
      </c>
      <c r="F283" s="38"/>
      <c r="G283" s="38"/>
    </row>
    <row r="284" spans="1:7" x14ac:dyDescent="0.2">
      <c r="A284" s="15" t="s">
        <v>1738</v>
      </c>
      <c r="B284" s="15">
        <v>18810826</v>
      </c>
      <c r="C284" s="15">
        <v>19630916</v>
      </c>
      <c r="D284" s="25" t="s">
        <v>1756</v>
      </c>
      <c r="E284" s="19">
        <f>VLOOKUP( $A284, Sovereignty!$A$2:$L$510, 12, 0 )</f>
        <v>0</v>
      </c>
      <c r="F284" s="38"/>
      <c r="G284" s="38"/>
    </row>
    <row r="285" spans="1:7" x14ac:dyDescent="0.2">
      <c r="A285" s="15" t="s">
        <v>1740</v>
      </c>
      <c r="B285" s="15">
        <v>18460101</v>
      </c>
      <c r="C285" s="15">
        <v>19460715</v>
      </c>
      <c r="D285" s="25" t="s">
        <v>1741</v>
      </c>
      <c r="E285" s="19">
        <f>VLOOKUP( $A285, Sovereignty!$A$2:$L$510, 12, 0 )</f>
        <v>0</v>
      </c>
      <c r="F285" s="38"/>
      <c r="G285" s="38"/>
    </row>
    <row r="286" spans="1:7" x14ac:dyDescent="0.2">
      <c r="A286" s="15" t="s">
        <v>1734</v>
      </c>
      <c r="B286" s="15">
        <v>19480131</v>
      </c>
      <c r="C286" s="15">
        <v>19630916</v>
      </c>
      <c r="D286" s="25" t="s">
        <v>1733</v>
      </c>
      <c r="E286" s="19">
        <f>VLOOKUP( $A286, Sovereignty!$A$2:$L$510, 12, 0 )</f>
        <v>0</v>
      </c>
      <c r="F286" s="38"/>
      <c r="G286" s="38"/>
    </row>
    <row r="287" spans="1:7" x14ac:dyDescent="0.2">
      <c r="A287" s="15" t="s">
        <v>1731</v>
      </c>
      <c r="B287" s="15">
        <v>19460401</v>
      </c>
      <c r="C287" s="15">
        <v>19480131</v>
      </c>
      <c r="D287" s="25" t="s">
        <v>1733</v>
      </c>
      <c r="E287" s="19">
        <f>VLOOKUP( $A287, Sovereignty!$A$2:$L$510, 12, 0 )</f>
        <v>0</v>
      </c>
      <c r="F287" s="38"/>
      <c r="G287" s="38"/>
    </row>
    <row r="288" spans="1:7" x14ac:dyDescent="0.2">
      <c r="A288" s="15" t="s">
        <v>1759</v>
      </c>
      <c r="B288" s="15">
        <v>19491227</v>
      </c>
      <c r="C288" s="15">
        <v>20261231</v>
      </c>
      <c r="D288" s="25" t="s">
        <v>70</v>
      </c>
      <c r="E288" s="19">
        <f>VLOOKUP( $A288, Sovereignty!$A$2:$L$510, 12, 0 )</f>
        <v>0</v>
      </c>
      <c r="F288" s="38"/>
      <c r="G288" s="38"/>
    </row>
    <row r="289" spans="1:7" x14ac:dyDescent="0.2">
      <c r="A289" s="15" t="s">
        <v>1757</v>
      </c>
      <c r="B289" s="15">
        <v>18000101</v>
      </c>
      <c r="C289" s="15">
        <v>19491227</v>
      </c>
      <c r="D289" s="25" t="s">
        <v>70</v>
      </c>
      <c r="E289" s="19">
        <f>VLOOKUP( $A289, Sovereignty!$A$2:$L$510, 12, 0 )</f>
        <v>0</v>
      </c>
      <c r="F289" s="38"/>
      <c r="G289" s="38"/>
    </row>
    <row r="290" spans="1:7" x14ac:dyDescent="0.2">
      <c r="A290" s="15" t="s">
        <v>2366</v>
      </c>
      <c r="B290" s="15">
        <v>20020520</v>
      </c>
      <c r="C290" s="15">
        <v>20261231</v>
      </c>
      <c r="D290" s="25" t="s">
        <v>1599</v>
      </c>
      <c r="E290" s="19">
        <f>VLOOKUP( $A290, Sovereignty!$A$2:$L$510, 12, 0 )</f>
        <v>0</v>
      </c>
      <c r="F290" s="38"/>
      <c r="G290" s="38"/>
    </row>
    <row r="291" spans="1:7" x14ac:dyDescent="0.2">
      <c r="A291" s="15" t="s">
        <v>1764</v>
      </c>
      <c r="B291" s="15">
        <v>17020101</v>
      </c>
      <c r="C291" s="15">
        <v>19751207</v>
      </c>
      <c r="D291" s="25" t="s">
        <v>1599</v>
      </c>
      <c r="E291" s="19">
        <f>VLOOKUP( $A291, Sovereignty!$A$2:$L$510, 12, 0 )</f>
        <v>0</v>
      </c>
      <c r="F291" s="38"/>
      <c r="G291" s="38"/>
    </row>
    <row r="292" spans="1:7" x14ac:dyDescent="0.2">
      <c r="A292" s="15" t="s">
        <v>949</v>
      </c>
      <c r="B292" s="15">
        <v>19840101</v>
      </c>
      <c r="C292" s="15">
        <v>20261231</v>
      </c>
      <c r="D292" s="25" t="s">
        <v>23</v>
      </c>
      <c r="E292" s="19">
        <f>VLOOKUP( $A292, Sovereignty!$A$2:$L$510, 12, 0 )</f>
        <v>0</v>
      </c>
      <c r="F292" s="38"/>
      <c r="G292" s="38"/>
    </row>
    <row r="293" spans="1:7" x14ac:dyDescent="0.2">
      <c r="A293" s="15" t="s">
        <v>1771</v>
      </c>
      <c r="B293" s="15">
        <v>18880917</v>
      </c>
      <c r="C293" s="15">
        <v>19840101</v>
      </c>
      <c r="D293" s="25" t="s">
        <v>23</v>
      </c>
      <c r="E293" s="19">
        <f>VLOOKUP( $A293, Sovereignty!$A$2:$L$510, 12, 0 )</f>
        <v>0</v>
      </c>
      <c r="F293" s="38"/>
      <c r="G293" s="38"/>
    </row>
    <row r="294" spans="1:7" x14ac:dyDescent="0.2">
      <c r="A294" s="15" t="s">
        <v>1772</v>
      </c>
      <c r="B294" s="15">
        <v>13680101</v>
      </c>
      <c r="C294" s="15">
        <v>18880917</v>
      </c>
      <c r="D294" s="25" t="s">
        <v>23</v>
      </c>
      <c r="E294" s="19">
        <f>VLOOKUP( $A294, Sovereignty!$A$2:$L$510, 12, 0 )</f>
        <v>0</v>
      </c>
      <c r="F294" s="38"/>
      <c r="G294" s="38"/>
    </row>
    <row r="295" spans="1:7" x14ac:dyDescent="0.2">
      <c r="A295" s="15" t="s">
        <v>965</v>
      </c>
      <c r="B295" s="15">
        <v>19460704</v>
      </c>
      <c r="C295" s="15">
        <v>20261231</v>
      </c>
      <c r="D295" s="25" t="s">
        <v>126</v>
      </c>
      <c r="E295" s="19">
        <f>VLOOKUP( $A295, Sovereignty!$A$2:$L$510, 12, 0 )</f>
        <v>0</v>
      </c>
      <c r="F295" s="38"/>
      <c r="G295" s="38"/>
    </row>
    <row r="296" spans="1:7" x14ac:dyDescent="0.2">
      <c r="A296" s="15" t="s">
        <v>1779</v>
      </c>
      <c r="B296" s="15">
        <v>18981210</v>
      </c>
      <c r="C296" s="15">
        <v>19460704</v>
      </c>
      <c r="D296" s="25" t="s">
        <v>126</v>
      </c>
      <c r="E296" s="19">
        <f>VLOOKUP( $A296, Sovereignty!$A$2:$L$510, 12, 0 )</f>
        <v>0</v>
      </c>
      <c r="F296" s="38"/>
      <c r="G296" s="38"/>
    </row>
    <row r="297" spans="1:7" x14ac:dyDescent="0.2">
      <c r="A297" s="15" t="s">
        <v>952</v>
      </c>
      <c r="B297" s="15">
        <v>19531109</v>
      </c>
      <c r="C297" s="15">
        <v>20261231</v>
      </c>
      <c r="D297" s="25" t="s">
        <v>27</v>
      </c>
      <c r="E297" s="19">
        <f>VLOOKUP( $A297, Sovereignty!$A$2:$L$510, 12, 0 )</f>
        <v>0</v>
      </c>
      <c r="F297" s="38"/>
      <c r="G297" s="38"/>
    </row>
    <row r="298" spans="1:7" x14ac:dyDescent="0.2">
      <c r="A298" s="15" t="s">
        <v>1784</v>
      </c>
      <c r="B298" s="15">
        <v>18630811</v>
      </c>
      <c r="C298" s="15">
        <v>19531109</v>
      </c>
      <c r="D298" s="25" t="s">
        <v>27</v>
      </c>
      <c r="E298" s="19">
        <f>VLOOKUP( $A298, Sovereignty!$A$2:$L$510, 12, 0 )</f>
        <v>0</v>
      </c>
      <c r="F298" s="38"/>
      <c r="G298" s="38"/>
    </row>
    <row r="299" spans="1:7" x14ac:dyDescent="0.2">
      <c r="A299" s="15" t="s">
        <v>1786</v>
      </c>
      <c r="B299" s="15">
        <v>14310101</v>
      </c>
      <c r="C299" s="15">
        <v>18630811</v>
      </c>
      <c r="D299" s="25" t="s">
        <v>27</v>
      </c>
      <c r="E299" s="19">
        <f>VLOOKUP( $A299, Sovereignty!$A$2:$L$510, 12, 0 )</f>
        <v>0</v>
      </c>
      <c r="F299" s="38"/>
      <c r="G299" s="38"/>
    </row>
    <row r="300" spans="1:7" x14ac:dyDescent="0.2">
      <c r="A300" s="15" t="s">
        <v>955</v>
      </c>
      <c r="B300" s="15">
        <v>19531022</v>
      </c>
      <c r="C300" s="15">
        <v>20261231</v>
      </c>
      <c r="D300" s="25" t="s">
        <v>84</v>
      </c>
      <c r="E300" s="19">
        <f>VLOOKUP( $A300, Sovereignty!$A$2:$L$510, 12, 0 )</f>
        <v>0</v>
      </c>
      <c r="F300" s="38"/>
      <c r="G300" s="38"/>
    </row>
    <row r="301" spans="1:7" x14ac:dyDescent="0.2">
      <c r="A301" s="15" t="s">
        <v>1794</v>
      </c>
      <c r="B301" s="15">
        <v>18931003</v>
      </c>
      <c r="C301" s="15">
        <v>19531022</v>
      </c>
      <c r="D301" s="25" t="s">
        <v>84</v>
      </c>
      <c r="E301" s="19">
        <f>VLOOKUP( $A301, Sovereignty!$A$2:$L$510, 12, 0 )</f>
        <v>0</v>
      </c>
      <c r="F301" s="38"/>
      <c r="G301" s="38"/>
    </row>
    <row r="302" spans="1:7" x14ac:dyDescent="0.2">
      <c r="A302" s="15" t="s">
        <v>1795</v>
      </c>
      <c r="B302" s="15">
        <v>17070101</v>
      </c>
      <c r="C302" s="15">
        <v>18931003</v>
      </c>
      <c r="D302" s="25" t="s">
        <v>84</v>
      </c>
      <c r="E302" s="19">
        <f>VLOOKUP( $A302, Sovereignty!$A$2:$L$510, 12, 0 )</f>
        <v>0</v>
      </c>
      <c r="F302" s="38"/>
      <c r="G302" s="38"/>
    </row>
    <row r="303" spans="1:7" x14ac:dyDescent="0.2">
      <c r="A303" s="15" t="s">
        <v>957</v>
      </c>
      <c r="B303" s="15">
        <v>19760702</v>
      </c>
      <c r="C303" s="15">
        <v>20261231</v>
      </c>
      <c r="D303" s="25" t="s">
        <v>179</v>
      </c>
      <c r="E303" s="19">
        <f>VLOOKUP( $A303, Sovereignty!$A$2:$L$510, 12, 0 )</f>
        <v>0</v>
      </c>
      <c r="F303" s="38"/>
      <c r="G303" s="38"/>
    </row>
    <row r="304" spans="1:7" x14ac:dyDescent="0.2">
      <c r="A304" s="15" t="s">
        <v>1806</v>
      </c>
      <c r="B304" s="15">
        <v>19540721</v>
      </c>
      <c r="C304" s="15">
        <v>19750430</v>
      </c>
      <c r="D304" s="25" t="s">
        <v>1822</v>
      </c>
      <c r="E304" s="19">
        <f>VLOOKUP( $A304, Sovereignty!$A$2:$L$510, 12, 0 )</f>
        <v>0</v>
      </c>
      <c r="F304" s="38"/>
      <c r="G304" s="38"/>
    </row>
    <row r="305" spans="1:7" x14ac:dyDescent="0.2">
      <c r="A305" s="15" t="s">
        <v>1805</v>
      </c>
      <c r="B305" s="15">
        <v>19540721</v>
      </c>
      <c r="C305" s="15">
        <v>19760702</v>
      </c>
      <c r="D305" s="25" t="s">
        <v>1823</v>
      </c>
      <c r="E305" s="19">
        <f>VLOOKUP( $A305, Sovereignty!$A$2:$L$510, 12, 0 )</f>
        <v>0</v>
      </c>
      <c r="F305" s="38"/>
      <c r="G305" s="38"/>
    </row>
    <row r="306" spans="1:7" x14ac:dyDescent="0.2">
      <c r="A306" s="15" t="s">
        <v>1804</v>
      </c>
      <c r="B306" s="15">
        <v>18840606</v>
      </c>
      <c r="C306" s="15">
        <v>19540721</v>
      </c>
      <c r="D306" s="25" t="s">
        <v>179</v>
      </c>
      <c r="E306" s="19">
        <f>VLOOKUP( $A306, Sovereignty!$A$2:$L$510, 12, 0 )</f>
        <v>0</v>
      </c>
      <c r="F306" s="38"/>
      <c r="G306" s="38"/>
    </row>
    <row r="307" spans="1:7" x14ac:dyDescent="0.2">
      <c r="A307" s="15" t="s">
        <v>1803</v>
      </c>
      <c r="B307" s="15">
        <v>18020601</v>
      </c>
      <c r="C307" s="15">
        <v>18840606</v>
      </c>
      <c r="D307" s="25" t="s">
        <v>179</v>
      </c>
      <c r="E307" s="19">
        <f>VLOOKUP( $A307, Sovereignty!$A$2:$L$510, 12, 0 )</f>
        <v>0</v>
      </c>
      <c r="F307" s="38"/>
      <c r="G307" s="38"/>
    </row>
    <row r="308" spans="1:7" x14ac:dyDescent="0.2">
      <c r="A308" s="15" t="s">
        <v>1826</v>
      </c>
      <c r="B308" s="15">
        <v>16440101</v>
      </c>
      <c r="C308" s="15">
        <v>19491001</v>
      </c>
      <c r="D308" s="25" t="s">
        <v>33</v>
      </c>
      <c r="E308" s="19">
        <f>VLOOKUP( $A308, Sovereignty!$A$2:$L$510, 12, 0 )</f>
        <v>0</v>
      </c>
      <c r="F308" s="38"/>
      <c r="G308" s="38"/>
    </row>
    <row r="309" spans="1:7" x14ac:dyDescent="0.2">
      <c r="A309" s="15" t="s">
        <v>1827</v>
      </c>
      <c r="B309" s="15">
        <v>19491001</v>
      </c>
      <c r="C309" s="15">
        <v>20261231</v>
      </c>
      <c r="D309" s="25" t="s">
        <v>33</v>
      </c>
      <c r="E309" s="19">
        <f>VLOOKUP( $A309, Sovereignty!$A$2:$L$510, 12, 0 )</f>
        <v>0</v>
      </c>
      <c r="F309" s="38"/>
      <c r="G309" s="38"/>
    </row>
    <row r="310" spans="1:7" x14ac:dyDescent="0.2">
      <c r="A310" s="15" t="s">
        <v>956</v>
      </c>
      <c r="B310" s="15">
        <v>19491001</v>
      </c>
      <c r="C310" s="15">
        <v>20261231</v>
      </c>
      <c r="D310" s="25" t="s">
        <v>159</v>
      </c>
      <c r="E310" s="19">
        <f>VLOOKUP( $A310, Sovereignty!$A$2:$L$510, 12, 0 )</f>
        <v>0</v>
      </c>
      <c r="F310" s="38"/>
      <c r="G310" s="38"/>
    </row>
    <row r="311" spans="1:7" x14ac:dyDescent="0.2">
      <c r="A311" s="15" t="s">
        <v>1835</v>
      </c>
      <c r="B311" s="15">
        <v>16030101</v>
      </c>
      <c r="C311" s="15">
        <v>20261231</v>
      </c>
      <c r="D311" s="25" t="s">
        <v>76</v>
      </c>
      <c r="E311" s="19">
        <f>VLOOKUP( $A311, Sovereignty!$A$2:$L$510, 12, 0 )</f>
        <v>0</v>
      </c>
      <c r="F311" s="38"/>
      <c r="G311" s="38"/>
    </row>
    <row r="312" spans="1:7" x14ac:dyDescent="0.2">
      <c r="A312" s="15" t="s">
        <v>2368</v>
      </c>
      <c r="B312" s="15">
        <v>19450815</v>
      </c>
      <c r="C312" s="15">
        <v>20261231</v>
      </c>
      <c r="D312" s="25" t="s">
        <v>1600</v>
      </c>
      <c r="E312" s="19">
        <f>VLOOKUP( $A312, Sovereignty!$A$2:$L$510, 12, 0 )</f>
        <v>0</v>
      </c>
      <c r="F312" s="38"/>
      <c r="G312" s="38"/>
    </row>
    <row r="313" spans="1:7" x14ac:dyDescent="0.2">
      <c r="A313" s="15" t="s">
        <v>2369</v>
      </c>
      <c r="B313" s="15">
        <v>19450815</v>
      </c>
      <c r="C313" s="15">
        <v>20261231</v>
      </c>
      <c r="D313" s="25" t="s">
        <v>1601</v>
      </c>
      <c r="E313" s="19">
        <f>VLOOKUP( $A313, Sovereignty!$A$2:$L$510, 12, 0 )</f>
        <v>0</v>
      </c>
      <c r="F313" s="38"/>
      <c r="G313" s="38"/>
    </row>
    <row r="314" spans="1:7" x14ac:dyDescent="0.2">
      <c r="A314" s="15" t="s">
        <v>1842</v>
      </c>
      <c r="B314" s="15">
        <v>19100829</v>
      </c>
      <c r="C314" s="15">
        <v>19450815</v>
      </c>
      <c r="D314" s="25" t="s">
        <v>1841</v>
      </c>
      <c r="E314" s="19">
        <f>VLOOKUP( $A314, Sovereignty!$A$2:$L$510, 12, 0 )</f>
        <v>0</v>
      </c>
      <c r="F314" s="38"/>
      <c r="G314" s="38"/>
    </row>
    <row r="315" spans="1:7" x14ac:dyDescent="0.2">
      <c r="A315" s="15" t="s">
        <v>1843</v>
      </c>
      <c r="B315" s="15">
        <v>13920805</v>
      </c>
      <c r="C315" s="15">
        <v>19100829</v>
      </c>
      <c r="D315" s="25" t="s">
        <v>1841</v>
      </c>
      <c r="E315" s="19">
        <f>VLOOKUP( $A315, Sovereignty!$A$2:$L$510, 12, 0 )</f>
        <v>0</v>
      </c>
      <c r="F315" s="38"/>
      <c r="G315" s="38"/>
    </row>
    <row r="316" spans="1:7" x14ac:dyDescent="0.2">
      <c r="A316" s="15" t="s">
        <v>1853</v>
      </c>
      <c r="B316" s="15">
        <v>19111229</v>
      </c>
      <c r="C316" s="15">
        <v>20261231</v>
      </c>
      <c r="D316" s="25" t="s">
        <v>105</v>
      </c>
      <c r="E316" s="19">
        <f>VLOOKUP( $A316, Sovereignty!$A$2:$L$510, 12, 0 )</f>
        <v>0</v>
      </c>
      <c r="F316" s="38"/>
      <c r="G316" s="38"/>
    </row>
    <row r="317" spans="1:7" x14ac:dyDescent="0.2">
      <c r="A317" s="15" t="s">
        <v>1854</v>
      </c>
      <c r="B317" s="15">
        <v>16910101</v>
      </c>
      <c r="C317" s="15">
        <v>19111229</v>
      </c>
      <c r="D317" s="25" t="s">
        <v>105</v>
      </c>
      <c r="E317" s="19">
        <f>VLOOKUP( $A317, Sovereignty!$A$2:$L$510, 12, 0 )</f>
        <v>0</v>
      </c>
      <c r="F317" s="38"/>
      <c r="G317" s="38"/>
    </row>
    <row r="318" spans="1:7" x14ac:dyDescent="0.2">
      <c r="A318" s="15" t="s">
        <v>950</v>
      </c>
      <c r="B318" s="15">
        <v>19910831</v>
      </c>
      <c r="C318" s="15">
        <v>20261231</v>
      </c>
      <c r="D318" s="25" t="s">
        <v>83</v>
      </c>
      <c r="E318" s="19">
        <f>VLOOKUP( $A318, Sovereignty!$A$2:$L$510, 12, 0 )</f>
        <v>0</v>
      </c>
      <c r="F318" s="38"/>
      <c r="G318" s="38"/>
    </row>
    <row r="319" spans="1:7" x14ac:dyDescent="0.2">
      <c r="A319" s="15" t="s">
        <v>953</v>
      </c>
      <c r="B319" s="15">
        <v>19910909</v>
      </c>
      <c r="C319" s="15">
        <v>20261231</v>
      </c>
      <c r="D319" s="25" t="s">
        <v>160</v>
      </c>
      <c r="E319" s="19">
        <f>VLOOKUP( $A319, Sovereignty!$A$2:$L$510, 12, 0 )</f>
        <v>0</v>
      </c>
      <c r="F319" s="38"/>
      <c r="G319" s="38"/>
    </row>
    <row r="320" spans="1:7" x14ac:dyDescent="0.2">
      <c r="A320" s="15" t="s">
        <v>958</v>
      </c>
      <c r="B320" s="15">
        <v>19910901</v>
      </c>
      <c r="C320" s="15">
        <v>20261231</v>
      </c>
      <c r="D320" s="25" t="s">
        <v>175</v>
      </c>
      <c r="E320" s="19">
        <f>VLOOKUP( $A320, Sovereignty!$A$2:$L$510, 12, 0 )</f>
        <v>0</v>
      </c>
      <c r="F320" s="38"/>
      <c r="G320" s="38"/>
    </row>
    <row r="321" spans="1:7" x14ac:dyDescent="0.2">
      <c r="A321" s="15" t="s">
        <v>951</v>
      </c>
      <c r="B321" s="15">
        <v>19900820</v>
      </c>
      <c r="C321" s="15">
        <v>20261231</v>
      </c>
      <c r="D321" s="25" t="s">
        <v>168</v>
      </c>
      <c r="E321" s="19">
        <f>VLOOKUP( $A321, Sovereignty!$A$2:$L$510, 12, 0 )</f>
        <v>0</v>
      </c>
      <c r="F321" s="38"/>
      <c r="G321" s="38"/>
    </row>
    <row r="322" spans="1:7" x14ac:dyDescent="0.2">
      <c r="A322" s="15" t="s">
        <v>959</v>
      </c>
      <c r="B322" s="15">
        <v>19911216</v>
      </c>
      <c r="C322" s="15">
        <v>20261231</v>
      </c>
      <c r="D322" s="25" t="s">
        <v>78</v>
      </c>
      <c r="E322" s="19">
        <f>VLOOKUP( $A322, Sovereignty!$A$2:$L$510, 12, 0 )</f>
        <v>0</v>
      </c>
      <c r="F322" s="38"/>
      <c r="G322" s="38"/>
    </row>
    <row r="323" spans="1:7" x14ac:dyDescent="0.2">
      <c r="A323" s="15" t="s">
        <v>946</v>
      </c>
      <c r="B323" s="15">
        <v>19911018</v>
      </c>
      <c r="C323" s="15">
        <v>20261231</v>
      </c>
      <c r="D323" s="25" t="s">
        <v>10</v>
      </c>
      <c r="E323" s="19">
        <f>VLOOKUP( $A323, Sovereignty!$A$2:$L$510, 12, 0 )</f>
        <v>0</v>
      </c>
      <c r="F323" s="38"/>
      <c r="G323" s="38"/>
    </row>
    <row r="324" spans="1:7" x14ac:dyDescent="0.2">
      <c r="A324" s="15" t="s">
        <v>941</v>
      </c>
      <c r="B324" s="15">
        <v>19910923</v>
      </c>
      <c r="C324" s="15">
        <v>20261231</v>
      </c>
      <c r="D324" s="25" t="s">
        <v>7</v>
      </c>
      <c r="E324" s="19">
        <f>VLOOKUP( $A324, Sovereignty!$A$2:$L$510, 12, 0 )</f>
        <v>0</v>
      </c>
      <c r="F324" s="38"/>
      <c r="G324" s="38"/>
    </row>
    <row r="325" spans="1:7" x14ac:dyDescent="0.2">
      <c r="A325" s="15" t="s">
        <v>944</v>
      </c>
      <c r="B325" s="15">
        <v>19910409</v>
      </c>
      <c r="C325" s="15">
        <v>20261231</v>
      </c>
      <c r="D325" s="25" t="s">
        <v>192</v>
      </c>
      <c r="E325" s="19">
        <f>VLOOKUP( $A325, Sovereignty!$A$2:$L$510, 12, 0 )</f>
        <v>0</v>
      </c>
      <c r="F325" s="38"/>
      <c r="G325" s="38"/>
    </row>
    <row r="326" spans="1:7" x14ac:dyDescent="0.2">
      <c r="A326" s="15" t="s">
        <v>991</v>
      </c>
      <c r="B326" s="15">
        <v>19910824</v>
      </c>
      <c r="C326" s="15">
        <v>20261231</v>
      </c>
      <c r="D326" s="25" t="s">
        <v>171</v>
      </c>
      <c r="E326" s="19">
        <f>VLOOKUP( $A326, Sovereignty!$A$2:$L$510, 12, 0 )</f>
        <v>0</v>
      </c>
      <c r="F326" s="38"/>
      <c r="G326" s="38"/>
    </row>
    <row r="327" spans="1:7" x14ac:dyDescent="0.2">
      <c r="A327" s="15" t="s">
        <v>987</v>
      </c>
      <c r="B327" s="15">
        <v>19911226</v>
      </c>
      <c r="C327" s="15">
        <v>20261231</v>
      </c>
      <c r="D327" s="25" t="s">
        <v>132</v>
      </c>
      <c r="E327" s="19">
        <f>VLOOKUP( $A327, Sovereignty!$A$2:$L$510, 12, 0 )</f>
        <v>0</v>
      </c>
      <c r="F327" s="38"/>
      <c r="G327" s="38"/>
    </row>
    <row r="328" spans="1:7" x14ac:dyDescent="0.2">
      <c r="A328" s="15" t="s">
        <v>1877</v>
      </c>
      <c r="B328" s="15">
        <v>19221230</v>
      </c>
      <c r="C328" s="15">
        <v>19911226</v>
      </c>
      <c r="D328" s="25" t="s">
        <v>1884</v>
      </c>
      <c r="E328" s="19">
        <f>VLOOKUP( $A328, Sovereignty!$A$2:$L$510, 12, 0 )</f>
        <v>0</v>
      </c>
      <c r="F328" s="38"/>
      <c r="G328" s="38"/>
    </row>
    <row r="329" spans="1:7" x14ac:dyDescent="0.2">
      <c r="A329" s="15" t="s">
        <v>1885</v>
      </c>
      <c r="B329" s="15">
        <v>19171107</v>
      </c>
      <c r="C329" s="15">
        <v>19221230</v>
      </c>
      <c r="D329" s="25" t="s">
        <v>132</v>
      </c>
      <c r="E329" s="19">
        <f>VLOOKUP( $A329, Sovereignty!$A$2:$L$510, 12, 0 )</f>
        <v>0</v>
      </c>
      <c r="F329" s="38"/>
      <c r="G329" s="38"/>
    </row>
    <row r="330" spans="1:7" x14ac:dyDescent="0.2">
      <c r="A330" s="15" t="s">
        <v>1878</v>
      </c>
      <c r="B330" s="15">
        <v>17210910</v>
      </c>
      <c r="C330" s="15">
        <v>19171107</v>
      </c>
      <c r="D330" s="25" t="s">
        <v>132</v>
      </c>
      <c r="E330" s="19">
        <f>VLOOKUP( $A330, Sovereignty!$A$2:$L$510, 12, 0 )</f>
        <v>0</v>
      </c>
      <c r="F330" s="38"/>
      <c r="G330" s="38"/>
    </row>
    <row r="331" spans="1:7" x14ac:dyDescent="0.2">
      <c r="A331" s="15" t="s">
        <v>974</v>
      </c>
      <c r="B331" s="15">
        <v>19910825</v>
      </c>
      <c r="C331" s="15">
        <v>20261231</v>
      </c>
      <c r="D331" s="25" t="s">
        <v>14</v>
      </c>
      <c r="E331" s="19">
        <f>VLOOKUP( $A331, Sovereignty!$A$2:$L$510, 12, 0 )</f>
        <v>0</v>
      </c>
      <c r="F331" s="38"/>
      <c r="G331" s="38"/>
    </row>
    <row r="332" spans="1:7" x14ac:dyDescent="0.2">
      <c r="A332" s="15" t="s">
        <v>970</v>
      </c>
      <c r="B332" s="15">
        <v>19910820</v>
      </c>
      <c r="C332" s="15">
        <v>20261231</v>
      </c>
      <c r="D332" s="25" t="s">
        <v>51</v>
      </c>
      <c r="E332" s="19">
        <f>VLOOKUP( $A332, Sovereignty!$A$2:$L$510, 12, 0 )</f>
        <v>0</v>
      </c>
      <c r="F332" s="38"/>
      <c r="G332" s="38"/>
    </row>
    <row r="333" spans="1:7" x14ac:dyDescent="0.2">
      <c r="A333" s="15" t="s">
        <v>1891</v>
      </c>
      <c r="B333" s="15">
        <v>19180224</v>
      </c>
      <c r="C333" s="15">
        <v>19400617</v>
      </c>
      <c r="D333" s="25" t="s">
        <v>51</v>
      </c>
      <c r="E333" s="19">
        <f>VLOOKUP( $A333, Sovereignty!$A$2:$L$510, 12, 0 )</f>
        <v>0</v>
      </c>
      <c r="F333" s="38"/>
      <c r="G333" s="38"/>
    </row>
    <row r="334" spans="1:7" x14ac:dyDescent="0.2">
      <c r="A334" s="15" t="s">
        <v>971</v>
      </c>
      <c r="B334" s="15">
        <v>19910821</v>
      </c>
      <c r="C334" s="15">
        <v>20261231</v>
      </c>
      <c r="D334" s="25" t="s">
        <v>85</v>
      </c>
      <c r="E334" s="19">
        <f>VLOOKUP( $A334, Sovereignty!$A$2:$L$510, 12, 0 )</f>
        <v>0</v>
      </c>
      <c r="F334" s="38"/>
      <c r="G334" s="38"/>
    </row>
    <row r="335" spans="1:7" x14ac:dyDescent="0.2">
      <c r="A335" s="15" t="s">
        <v>1894</v>
      </c>
      <c r="B335" s="15">
        <v>19181118</v>
      </c>
      <c r="C335" s="15">
        <v>19400617</v>
      </c>
      <c r="D335" s="25" t="s">
        <v>85</v>
      </c>
      <c r="E335" s="19">
        <f>VLOOKUP( $A335, Sovereignty!$A$2:$L$510, 12, 0 )</f>
        <v>0</v>
      </c>
      <c r="F335" s="38"/>
      <c r="G335" s="38"/>
    </row>
    <row r="336" spans="1:7" x14ac:dyDescent="0.2">
      <c r="A336" s="15" t="s">
        <v>1895</v>
      </c>
      <c r="B336" s="15">
        <v>19180216</v>
      </c>
      <c r="C336" s="15">
        <v>19400617</v>
      </c>
      <c r="D336" s="25" t="s">
        <v>91</v>
      </c>
      <c r="E336" s="19">
        <f>VLOOKUP( $A336, Sovereignty!$A$2:$L$510, 12, 0 )</f>
        <v>0</v>
      </c>
      <c r="F336" s="38"/>
      <c r="G336" s="38"/>
    </row>
    <row r="337" spans="1:7" x14ac:dyDescent="0.2">
      <c r="A337" s="15" t="s">
        <v>975</v>
      </c>
      <c r="B337" s="15">
        <v>19900311</v>
      </c>
      <c r="C337" s="15">
        <v>20261231</v>
      </c>
      <c r="D337" s="25" t="s">
        <v>91</v>
      </c>
      <c r="E337" s="19">
        <f>VLOOKUP( $A337, Sovereignty!$A$2:$L$510, 12, 0 )</f>
        <v>0</v>
      </c>
      <c r="F337" s="38"/>
      <c r="G337" s="38"/>
    </row>
    <row r="338" spans="1:7" x14ac:dyDescent="0.2">
      <c r="A338" s="15" t="s">
        <v>2370</v>
      </c>
      <c r="B338" s="15">
        <v>19440722</v>
      </c>
      <c r="C338" s="15">
        <v>20261231</v>
      </c>
      <c r="D338" s="25" t="s">
        <v>127</v>
      </c>
      <c r="E338" s="19">
        <f>VLOOKUP( $A338, Sovereignty!$A$2:$L$510, 12, 0 )</f>
        <v>0</v>
      </c>
      <c r="F338" s="38"/>
      <c r="G338" s="38"/>
    </row>
    <row r="339" spans="1:7" x14ac:dyDescent="0.2">
      <c r="A339" s="15" t="s">
        <v>1904</v>
      </c>
      <c r="B339" s="15">
        <v>19181111</v>
      </c>
      <c r="C339" s="15">
        <v>19390917</v>
      </c>
      <c r="D339" s="25" t="s">
        <v>127</v>
      </c>
      <c r="E339" s="19">
        <f>VLOOKUP( $A339, Sovereignty!$A$2:$L$510, 12, 0 )</f>
        <v>0</v>
      </c>
      <c r="F339" s="38"/>
      <c r="G339" s="38"/>
    </row>
    <row r="340" spans="1:7" x14ac:dyDescent="0.2">
      <c r="A340" s="15" t="s">
        <v>983</v>
      </c>
      <c r="B340" s="15">
        <v>19930101</v>
      </c>
      <c r="C340" s="15">
        <v>20261231</v>
      </c>
      <c r="D340" s="25" t="s">
        <v>1602</v>
      </c>
      <c r="E340" s="19">
        <f>VLOOKUP( $A340, Sovereignty!$A$2:$L$510, 12, 0 )</f>
        <v>0</v>
      </c>
      <c r="F340" s="38"/>
      <c r="G340" s="38"/>
    </row>
    <row r="341" spans="1:7" x14ac:dyDescent="0.2">
      <c r="A341" s="15" t="s">
        <v>1906</v>
      </c>
      <c r="B341" s="15">
        <v>19181018</v>
      </c>
      <c r="C341" s="15">
        <v>19380930</v>
      </c>
      <c r="D341" s="25" t="s">
        <v>1907</v>
      </c>
      <c r="E341" s="19">
        <f>VLOOKUP( $A341, Sovereignty!$A$2:$L$510, 12, 0 )</f>
        <v>0</v>
      </c>
      <c r="F341" s="38"/>
      <c r="G341" s="38"/>
    </row>
    <row r="342" spans="1:7" x14ac:dyDescent="0.2">
      <c r="A342" s="15" t="s">
        <v>1908</v>
      </c>
      <c r="B342" s="15">
        <v>19450508</v>
      </c>
      <c r="C342" s="15">
        <v>19930101</v>
      </c>
      <c r="D342" s="25" t="s">
        <v>1907</v>
      </c>
      <c r="E342" s="19">
        <f>VLOOKUP( $A342, Sovereignty!$A$2:$L$510, 12, 0 )</f>
        <v>0</v>
      </c>
      <c r="F342" s="38"/>
      <c r="G342" s="38"/>
    </row>
    <row r="343" spans="1:7" x14ac:dyDescent="0.2">
      <c r="A343" s="15" t="s">
        <v>988</v>
      </c>
      <c r="B343" s="15">
        <v>19930101</v>
      </c>
      <c r="C343" s="15">
        <v>20261231</v>
      </c>
      <c r="D343" s="25" t="s">
        <v>145</v>
      </c>
      <c r="E343" s="19">
        <f>VLOOKUP( $A343, Sovereignty!$A$2:$L$510, 12, 0 )</f>
        <v>0</v>
      </c>
      <c r="F343" s="38"/>
      <c r="G343" s="38"/>
    </row>
    <row r="344" spans="1:7" x14ac:dyDescent="0.2">
      <c r="A344" s="15" t="s">
        <v>1913</v>
      </c>
      <c r="B344" s="15">
        <v>19181031</v>
      </c>
      <c r="C344" s="15">
        <v>20261231</v>
      </c>
      <c r="D344" s="25" t="s">
        <v>67</v>
      </c>
      <c r="E344" s="19">
        <f>VLOOKUP( $A344, Sovereignty!$A$2:$L$510, 12, 0 )</f>
        <v>0</v>
      </c>
      <c r="F344" s="38"/>
      <c r="G344" s="38"/>
    </row>
    <row r="345" spans="1:7" x14ac:dyDescent="0.2">
      <c r="A345" s="15" t="s">
        <v>985</v>
      </c>
      <c r="B345" s="15">
        <v>18770509</v>
      </c>
      <c r="C345" s="15">
        <v>20261231</v>
      </c>
      <c r="D345" s="25" t="s">
        <v>131</v>
      </c>
      <c r="E345" s="19">
        <f>VLOOKUP( $A345, Sovereignty!$A$2:$L$510, 12, 0 )</f>
        <v>0</v>
      </c>
      <c r="F345" s="38"/>
      <c r="G345" s="38"/>
    </row>
    <row r="346" spans="1:7" x14ac:dyDescent="0.2">
      <c r="A346" s="15" t="s">
        <v>1917</v>
      </c>
      <c r="B346" s="15">
        <v>18590124</v>
      </c>
      <c r="C346" s="15">
        <v>18770509</v>
      </c>
      <c r="D346" s="25" t="s">
        <v>131</v>
      </c>
      <c r="E346" s="19">
        <f>VLOOKUP( $A346, Sovereignty!$A$2:$L$510, 12, 0 )</f>
        <v>0</v>
      </c>
      <c r="F346" s="38"/>
      <c r="G346" s="38"/>
    </row>
    <row r="347" spans="1:7" x14ac:dyDescent="0.2">
      <c r="A347" s="15" t="s">
        <v>972</v>
      </c>
      <c r="B347" s="15">
        <v>19910827</v>
      </c>
      <c r="C347" s="15">
        <v>20261231</v>
      </c>
      <c r="D347" s="25" t="s">
        <v>103</v>
      </c>
      <c r="E347" s="19">
        <f>VLOOKUP( $A347, Sovereignty!$A$2:$L$510, 12, 0 )</f>
        <v>0</v>
      </c>
      <c r="F347" s="38"/>
      <c r="G347" s="38"/>
    </row>
    <row r="348" spans="1:7" x14ac:dyDescent="0.2">
      <c r="A348" s="15" t="s">
        <v>976</v>
      </c>
      <c r="B348" s="15">
        <v>19081005</v>
      </c>
      <c r="C348" s="15">
        <v>20261231</v>
      </c>
      <c r="D348" s="25" t="s">
        <v>24</v>
      </c>
      <c r="E348" s="19">
        <f>VLOOKUP( $A348, Sovereignty!$A$2:$L$510, 12, 0 )</f>
        <v>0</v>
      </c>
      <c r="F348" s="38"/>
      <c r="G348" s="38"/>
    </row>
    <row r="349" spans="1:7" x14ac:dyDescent="0.2">
      <c r="A349" s="15" t="s">
        <v>1924</v>
      </c>
      <c r="B349" s="15">
        <v>18780303</v>
      </c>
      <c r="C349" s="15">
        <v>19081005</v>
      </c>
      <c r="D349" s="25" t="s">
        <v>24</v>
      </c>
      <c r="E349" s="19">
        <f>VLOOKUP( $A349, Sovereignty!$A$2:$L$510, 12, 0 )</f>
        <v>0</v>
      </c>
      <c r="F349" s="38"/>
      <c r="G349" s="38"/>
    </row>
    <row r="350" spans="1:7" x14ac:dyDescent="0.2">
      <c r="A350" s="15" t="s">
        <v>1930</v>
      </c>
      <c r="B350" s="15">
        <v>19441012</v>
      </c>
      <c r="C350" s="15">
        <v>20261231</v>
      </c>
      <c r="D350" s="25" t="s">
        <v>59</v>
      </c>
      <c r="E350" s="19">
        <f>VLOOKUP( $A350, Sovereignty!$A$2:$L$510, 12, 0 )</f>
        <v>0</v>
      </c>
      <c r="F350" s="38"/>
      <c r="G350" s="38"/>
    </row>
    <row r="351" spans="1:7" x14ac:dyDescent="0.2">
      <c r="A351" s="15" t="s">
        <v>992</v>
      </c>
      <c r="B351" s="15">
        <v>18220101</v>
      </c>
      <c r="C351" s="15">
        <v>19410406</v>
      </c>
      <c r="D351" s="25" t="s">
        <v>59</v>
      </c>
      <c r="E351" s="19">
        <f>VLOOKUP( $A351, Sovereignty!$A$2:$L$510, 12, 0 )</f>
        <v>0</v>
      </c>
      <c r="F351" s="38"/>
      <c r="G351" s="38"/>
    </row>
    <row r="352" spans="1:7" x14ac:dyDescent="0.2">
      <c r="A352" s="15" t="s">
        <v>1931</v>
      </c>
      <c r="B352" s="15">
        <v>19441129</v>
      </c>
      <c r="C352" s="15">
        <v>20261231</v>
      </c>
      <c r="D352" s="25" t="s">
        <v>1</v>
      </c>
      <c r="E352" s="19">
        <f>VLOOKUP( $A352, Sovereignty!$A$2:$L$510, 12, 0 )</f>
        <v>0</v>
      </c>
      <c r="F352" s="38"/>
      <c r="G352" s="38"/>
    </row>
    <row r="353" spans="1:7" x14ac:dyDescent="0.2">
      <c r="A353" s="15" t="s">
        <v>978</v>
      </c>
      <c r="B353" s="15">
        <v>19121128</v>
      </c>
      <c r="C353" s="15">
        <v>19390407</v>
      </c>
      <c r="D353" s="25" t="s">
        <v>1</v>
      </c>
      <c r="E353" s="19">
        <f>VLOOKUP( $A353, Sovereignty!$A$2:$L$510, 12, 0 )</f>
        <v>0</v>
      </c>
      <c r="F353" s="38"/>
      <c r="G353" s="38"/>
    </row>
    <row r="354" spans="1:7" x14ac:dyDescent="0.2">
      <c r="A354" s="15" t="s">
        <v>973</v>
      </c>
      <c r="B354" s="15">
        <v>19910908</v>
      </c>
      <c r="C354" s="15">
        <v>20261231</v>
      </c>
      <c r="D354" s="25" t="s">
        <v>1603</v>
      </c>
      <c r="E354" s="19">
        <f>VLOOKUP( $A354, Sovereignty!$A$2:$L$510, 12, 0 )</f>
        <v>0</v>
      </c>
      <c r="F354" s="38"/>
      <c r="G354" s="38"/>
    </row>
    <row r="355" spans="1:7" x14ac:dyDescent="0.2">
      <c r="A355" s="15" t="s">
        <v>2371</v>
      </c>
      <c r="B355" s="15">
        <v>20060605</v>
      </c>
      <c r="C355" s="15">
        <v>20261231</v>
      </c>
      <c r="D355" s="25" t="s">
        <v>187</v>
      </c>
      <c r="E355" s="19">
        <f>VLOOKUP( $A355, Sovereignty!$A$2:$L$510, 12, 0 )</f>
        <v>0</v>
      </c>
      <c r="F355" s="38"/>
      <c r="G355" s="38"/>
    </row>
    <row r="356" spans="1:7" x14ac:dyDescent="0.2">
      <c r="A356" s="15" t="s">
        <v>1937</v>
      </c>
      <c r="B356" s="15">
        <v>19181201</v>
      </c>
      <c r="C356" s="15">
        <v>19920427</v>
      </c>
      <c r="D356" s="25" t="s">
        <v>187</v>
      </c>
      <c r="E356" s="19">
        <f>VLOOKUP( $A356, Sovereignty!$A$2:$L$510, 12, 0 )</f>
        <v>0</v>
      </c>
      <c r="F356" s="38"/>
      <c r="G356" s="38"/>
    </row>
    <row r="357" spans="1:7" x14ac:dyDescent="0.2">
      <c r="A357" s="15" t="s">
        <v>1938</v>
      </c>
      <c r="B357" s="15">
        <v>18820306</v>
      </c>
      <c r="C357" s="15">
        <v>19181201</v>
      </c>
      <c r="D357" s="25" t="s">
        <v>187</v>
      </c>
      <c r="E357" s="19">
        <f>VLOOKUP( $A357, Sovereignty!$A$2:$L$510, 12, 0 )</f>
        <v>0</v>
      </c>
      <c r="F357" s="38"/>
      <c r="G357" s="38"/>
    </row>
    <row r="358" spans="1:7" x14ac:dyDescent="0.2">
      <c r="A358" s="15" t="s">
        <v>1939</v>
      </c>
      <c r="B358" s="15">
        <v>18150101</v>
      </c>
      <c r="C358" s="15">
        <v>18820306</v>
      </c>
      <c r="D358" s="25" t="s">
        <v>187</v>
      </c>
      <c r="E358" s="19">
        <f>VLOOKUP( $A358, Sovereignty!$A$2:$L$510, 12, 0 )</f>
        <v>0</v>
      </c>
      <c r="F358" s="38"/>
      <c r="G358" s="38"/>
    </row>
    <row r="359" spans="1:7" x14ac:dyDescent="0.2">
      <c r="A359" s="15" t="s">
        <v>980</v>
      </c>
      <c r="B359" s="15">
        <v>20080217</v>
      </c>
      <c r="C359" s="15">
        <v>20261231</v>
      </c>
      <c r="D359" s="25" t="s">
        <v>187</v>
      </c>
      <c r="E359" s="19">
        <f>VLOOKUP( $A359, Sovereignty!$A$2:$L$510, 12, 0 )</f>
        <v>0</v>
      </c>
      <c r="F359" s="38"/>
      <c r="G359" s="38"/>
    </row>
    <row r="360" spans="1:7" x14ac:dyDescent="0.2">
      <c r="A360" s="15" t="s">
        <v>1948</v>
      </c>
      <c r="B360" s="15">
        <v>20030204</v>
      </c>
      <c r="C360" s="15">
        <v>20060605</v>
      </c>
      <c r="D360" s="25" t="s">
        <v>1951</v>
      </c>
      <c r="E360" s="19">
        <f>VLOOKUP( $A360, Sovereignty!$A$2:$L$510, 12, 0 )</f>
        <v>0</v>
      </c>
      <c r="F360" s="38"/>
      <c r="G360" s="38"/>
    </row>
    <row r="361" spans="1:7" x14ac:dyDescent="0.2">
      <c r="A361" s="15" t="s">
        <v>1948</v>
      </c>
      <c r="B361" s="15">
        <v>19920427</v>
      </c>
      <c r="C361" s="15">
        <v>20030204</v>
      </c>
      <c r="D361" s="25" t="s">
        <v>1951</v>
      </c>
      <c r="E361" s="19">
        <f>VLOOKUP( $A361, Sovereignty!$A$2:$L$510, 12, 0 )</f>
        <v>0</v>
      </c>
      <c r="F361" s="38"/>
      <c r="G361" s="38"/>
    </row>
    <row r="362" spans="1:7" x14ac:dyDescent="0.2">
      <c r="A362" s="15" t="s">
        <v>2372</v>
      </c>
      <c r="B362" s="15">
        <v>20060603</v>
      </c>
      <c r="C362" s="15">
        <v>20261231</v>
      </c>
      <c r="D362" s="25" t="s">
        <v>106</v>
      </c>
      <c r="E362" s="19">
        <f>VLOOKUP( $A362, Sovereignty!$A$2:$L$510, 12, 0 )</f>
        <v>0</v>
      </c>
      <c r="F362" s="38"/>
      <c r="G362" s="38"/>
    </row>
    <row r="363" spans="1:7" x14ac:dyDescent="0.2">
      <c r="A363" s="15" t="s">
        <v>989</v>
      </c>
      <c r="B363" s="15">
        <v>19920303</v>
      </c>
      <c r="C363" s="15">
        <v>20261231</v>
      </c>
      <c r="D363" s="25" t="s">
        <v>1604</v>
      </c>
      <c r="E363" s="19">
        <f>VLOOKUP( $A363, Sovereignty!$A$2:$L$510, 12, 0 )</f>
        <v>0</v>
      </c>
      <c r="F363" s="38"/>
      <c r="G363" s="38"/>
    </row>
    <row r="364" spans="1:7" x14ac:dyDescent="0.2">
      <c r="A364" s="15" t="s">
        <v>977</v>
      </c>
      <c r="B364" s="15">
        <v>19910625</v>
      </c>
      <c r="C364" s="15">
        <v>20261231</v>
      </c>
      <c r="D364" s="25" t="s">
        <v>37</v>
      </c>
      <c r="E364" s="19">
        <f>VLOOKUP( $A364, Sovereignty!$A$2:$L$510, 12, 0 )</f>
        <v>0</v>
      </c>
      <c r="F364" s="38"/>
      <c r="G364" s="38"/>
    </row>
    <row r="365" spans="1:7" x14ac:dyDescent="0.2">
      <c r="A365" s="15" t="s">
        <v>981</v>
      </c>
      <c r="B365" s="15">
        <v>19910625</v>
      </c>
      <c r="C365" s="15">
        <v>20261231</v>
      </c>
      <c r="D365" s="25" t="s">
        <v>146</v>
      </c>
      <c r="E365" s="19">
        <f>VLOOKUP( $A365, Sovereignty!$A$2:$L$510, 12, 0 )</f>
        <v>0</v>
      </c>
      <c r="F365" s="38"/>
      <c r="G365" s="38"/>
    </row>
    <row r="366" spans="1:7" x14ac:dyDescent="0.2">
      <c r="A366" s="15" t="s">
        <v>2373</v>
      </c>
      <c r="B366" s="15">
        <v>19450427</v>
      </c>
      <c r="C366" s="15">
        <v>20261231</v>
      </c>
      <c r="D366" s="25" t="s">
        <v>9</v>
      </c>
      <c r="E366" s="19">
        <f>VLOOKUP( $A366, Sovereignty!$A$2:$L$510, 12, 0 )</f>
        <v>0</v>
      </c>
      <c r="F366" s="38"/>
      <c r="G366" s="38"/>
    </row>
    <row r="367" spans="1:7" x14ac:dyDescent="0.2">
      <c r="A367" s="15" t="s">
        <v>1962</v>
      </c>
      <c r="B367" s="15">
        <v>19190912</v>
      </c>
      <c r="C367" s="15">
        <v>19380313</v>
      </c>
      <c r="D367" s="25" t="s">
        <v>9</v>
      </c>
      <c r="E367" s="19">
        <f>VLOOKUP( $A367, Sovereignty!$A$2:$L$510, 12, 0 )</f>
        <v>0</v>
      </c>
      <c r="F367" s="38"/>
      <c r="G367" s="38"/>
    </row>
    <row r="368" spans="1:7" x14ac:dyDescent="0.2">
      <c r="A368" s="15" t="s">
        <v>1960</v>
      </c>
      <c r="B368" s="15">
        <v>18670330</v>
      </c>
      <c r="C368" s="15">
        <v>19190912</v>
      </c>
      <c r="D368" s="25" t="s">
        <v>1968</v>
      </c>
      <c r="E368" s="19">
        <f>VLOOKUP( $A368, Sovereignty!$A$2:$L$510, 12, 0 )</f>
        <v>0</v>
      </c>
      <c r="F368" s="38"/>
      <c r="G368" s="38"/>
    </row>
    <row r="369" spans="1:7" x14ac:dyDescent="0.2">
      <c r="A369" s="15" t="s">
        <v>1963</v>
      </c>
      <c r="B369" s="15">
        <v>18040811</v>
      </c>
      <c r="C369" s="15">
        <v>18670330</v>
      </c>
      <c r="D369" s="25" t="s">
        <v>1969</v>
      </c>
      <c r="E369" s="19">
        <f>VLOOKUP( $A369, Sovereignty!$A$2:$L$510, 12, 0 )</f>
        <v>0</v>
      </c>
      <c r="F369" s="38"/>
      <c r="G369" s="38"/>
    </row>
    <row r="370" spans="1:7" x14ac:dyDescent="0.2">
      <c r="A370" s="15" t="s">
        <v>1970</v>
      </c>
      <c r="B370" s="15">
        <v>18060823</v>
      </c>
      <c r="C370" s="15">
        <v>20261231</v>
      </c>
      <c r="D370" s="25" t="s">
        <v>90</v>
      </c>
      <c r="E370" s="19">
        <f>VLOOKUP( $A370, Sovereignty!$A$2:$L$510, 12, 0 )</f>
        <v>0</v>
      </c>
      <c r="F370" s="38"/>
      <c r="G370" s="38"/>
    </row>
    <row r="371" spans="1:7" x14ac:dyDescent="0.2">
      <c r="A371" s="15" t="s">
        <v>998</v>
      </c>
      <c r="B371" s="15">
        <v>16481024</v>
      </c>
      <c r="C371" s="15">
        <v>20261231</v>
      </c>
      <c r="D371" s="25" t="s">
        <v>157</v>
      </c>
      <c r="E371" s="19">
        <f>VLOOKUP( $A371, Sovereignty!$A$2:$L$510, 12, 0 )</f>
        <v>0</v>
      </c>
      <c r="F371" s="38"/>
      <c r="G371" s="38"/>
    </row>
    <row r="372" spans="1:7" x14ac:dyDescent="0.2">
      <c r="A372" s="15" t="s">
        <v>993</v>
      </c>
      <c r="B372" s="15">
        <v>18610317</v>
      </c>
      <c r="C372" s="15">
        <v>20261231</v>
      </c>
      <c r="D372" s="25" t="s">
        <v>74</v>
      </c>
      <c r="E372" s="19">
        <f>VLOOKUP( $A372, Sovereignty!$A$2:$L$510, 12, 0 )</f>
        <v>0</v>
      </c>
      <c r="F372" s="38"/>
      <c r="G372" s="38"/>
    </row>
    <row r="373" spans="1:7" x14ac:dyDescent="0.2">
      <c r="A373" s="15" t="s">
        <v>1975</v>
      </c>
      <c r="B373" s="15">
        <v>18150101</v>
      </c>
      <c r="C373" s="15">
        <v>18610317</v>
      </c>
      <c r="D373" s="25" t="s">
        <v>74</v>
      </c>
      <c r="E373" s="19">
        <f>VLOOKUP( $A373, Sovereignty!$A$2:$L$510, 12, 0 )</f>
        <v>0</v>
      </c>
      <c r="F373" s="38"/>
      <c r="G373" s="38"/>
    </row>
    <row r="374" spans="1:7" x14ac:dyDescent="0.2">
      <c r="A374" s="15" t="s">
        <v>1980</v>
      </c>
      <c r="B374" s="15">
        <v>17200101</v>
      </c>
      <c r="C374" s="15">
        <v>18610317</v>
      </c>
      <c r="D374" s="25" t="s">
        <v>74</v>
      </c>
      <c r="E374" s="19">
        <f>VLOOKUP( $A374, Sovereignty!$A$2:$L$510, 12, 0 )</f>
        <v>0</v>
      </c>
      <c r="F374" s="38"/>
      <c r="G374" s="38"/>
    </row>
    <row r="375" spans="1:7" x14ac:dyDescent="0.2">
      <c r="A375" s="15" t="s">
        <v>1988</v>
      </c>
      <c r="B375" s="15">
        <v>18161208</v>
      </c>
      <c r="C375" s="15">
        <v>18610317</v>
      </c>
      <c r="D375" s="25" t="s">
        <v>74</v>
      </c>
      <c r="E375" s="19">
        <f>VLOOKUP( $A375, Sovereignty!$A$2:$L$510, 12, 0 )</f>
        <v>0</v>
      </c>
      <c r="F375" s="38"/>
      <c r="G375" s="38"/>
    </row>
    <row r="376" spans="1:7" x14ac:dyDescent="0.2">
      <c r="A376" s="15" t="s">
        <v>1992</v>
      </c>
      <c r="B376" s="15">
        <v>16311001</v>
      </c>
      <c r="C376" s="15">
        <v>20261231</v>
      </c>
      <c r="D376" s="25" t="s">
        <v>1605</v>
      </c>
      <c r="E376" s="19">
        <f>VLOOKUP( $A376, Sovereignty!$A$2:$L$510, 12, 0 )</f>
        <v>0</v>
      </c>
      <c r="F376" s="38"/>
      <c r="G376" s="38"/>
    </row>
    <row r="377" spans="1:7" x14ac:dyDescent="0.2">
      <c r="A377" s="15" t="s">
        <v>969</v>
      </c>
      <c r="B377" s="15">
        <v>19290211</v>
      </c>
      <c r="C377" s="15">
        <v>20261231</v>
      </c>
      <c r="D377" s="25" t="s">
        <v>1606</v>
      </c>
      <c r="E377" s="19">
        <f>VLOOKUP( $A377, Sovereignty!$A$2:$L$510, 12, 0 )</f>
        <v>0</v>
      </c>
      <c r="F377" s="38"/>
      <c r="G377" s="38"/>
    </row>
    <row r="378" spans="1:7" x14ac:dyDescent="0.2">
      <c r="A378" s="15" t="s">
        <v>999</v>
      </c>
      <c r="B378" s="15">
        <v>19640921</v>
      </c>
      <c r="C378" s="15">
        <v>20261231</v>
      </c>
      <c r="D378" s="25" t="s">
        <v>98</v>
      </c>
      <c r="E378" s="19">
        <f>VLOOKUP( $A378, Sovereignty!$A$2:$L$510, 12, 0 )</f>
        <v>0</v>
      </c>
      <c r="F378" s="38"/>
      <c r="G378" s="38"/>
    </row>
    <row r="379" spans="1:7" x14ac:dyDescent="0.2">
      <c r="A379" s="15" t="s">
        <v>1997</v>
      </c>
      <c r="B379" s="15">
        <v>18000905</v>
      </c>
      <c r="C379" s="15">
        <v>19640921</v>
      </c>
      <c r="D379" s="25" t="s">
        <v>98</v>
      </c>
      <c r="E379" s="19">
        <f>VLOOKUP( $A379, Sovereignty!$A$2:$L$510, 12, 0 )</f>
        <v>0</v>
      </c>
      <c r="F379" s="38"/>
      <c r="G379" s="38"/>
    </row>
    <row r="380" spans="1:7" x14ac:dyDescent="0.2">
      <c r="A380" s="15" t="s">
        <v>1998</v>
      </c>
      <c r="B380" s="15">
        <v>17980612</v>
      </c>
      <c r="C380" s="15">
        <v>18000905</v>
      </c>
      <c r="D380" s="25" t="s">
        <v>98</v>
      </c>
      <c r="E380" s="19">
        <f>VLOOKUP( $A380, Sovereignty!$A$2:$L$510, 12, 0 )</f>
        <v>0</v>
      </c>
      <c r="F380" s="38"/>
      <c r="G380" s="38"/>
    </row>
    <row r="381" spans="1:7" x14ac:dyDescent="0.2">
      <c r="A381" s="15" t="s">
        <v>1999</v>
      </c>
      <c r="B381" s="15">
        <v>15301124</v>
      </c>
      <c r="C381" s="15">
        <v>17980612</v>
      </c>
      <c r="D381" s="25" t="s">
        <v>98</v>
      </c>
      <c r="E381" s="19">
        <f>VLOOKUP( $A381, Sovereignty!$A$2:$L$510, 12, 0 )</f>
        <v>0</v>
      </c>
      <c r="F381" s="38"/>
      <c r="G381" s="38"/>
    </row>
    <row r="382" spans="1:7" x14ac:dyDescent="0.2">
      <c r="A382" s="15" t="s">
        <v>996</v>
      </c>
      <c r="B382" s="15">
        <v>18610211</v>
      </c>
      <c r="C382" s="15">
        <v>20261231</v>
      </c>
      <c r="D382" s="25" t="s">
        <v>1607</v>
      </c>
      <c r="E382" s="19">
        <f>VLOOKUP( $A382, Sovereignty!$A$2:$L$510, 12, 0 )</f>
        <v>0</v>
      </c>
      <c r="F382" s="38"/>
      <c r="G382" s="38"/>
    </row>
    <row r="383" spans="1:7" x14ac:dyDescent="0.2">
      <c r="A383" s="15" t="s">
        <v>2011</v>
      </c>
      <c r="B383" s="15">
        <v>18140406</v>
      </c>
      <c r="C383" s="15">
        <v>18610211</v>
      </c>
      <c r="D383" s="25" t="s">
        <v>1607</v>
      </c>
      <c r="E383" s="19">
        <f>VLOOKUP( $A383, Sovereignty!$A$2:$L$510, 12, 0 )</f>
        <v>0</v>
      </c>
      <c r="F383" s="38"/>
      <c r="G383" s="38"/>
    </row>
    <row r="384" spans="1:7" x14ac:dyDescent="0.2">
      <c r="A384" s="15" t="s">
        <v>2012</v>
      </c>
      <c r="B384" s="15">
        <v>17930130</v>
      </c>
      <c r="C384" s="15">
        <v>18140406</v>
      </c>
      <c r="D384" s="25" t="s">
        <v>1607</v>
      </c>
      <c r="E384" s="19">
        <f>VLOOKUP( $A384, Sovereignty!$A$2:$L$510, 12, 0 )</f>
        <v>0</v>
      </c>
      <c r="F384" s="38"/>
      <c r="G384" s="38"/>
    </row>
    <row r="385" spans="1:7" x14ac:dyDescent="0.2">
      <c r="A385" s="15" t="s">
        <v>2010</v>
      </c>
      <c r="B385" s="15">
        <v>16410114</v>
      </c>
      <c r="C385" s="15">
        <v>17930130</v>
      </c>
      <c r="D385" s="25" t="s">
        <v>1607</v>
      </c>
      <c r="E385" s="19">
        <f>VLOOKUP( $A385, Sovereignty!$A$2:$L$510, 12, 0 )</f>
        <v>0</v>
      </c>
      <c r="F385" s="38"/>
      <c r="G385" s="38"/>
    </row>
    <row r="386" spans="1:7" x14ac:dyDescent="0.2">
      <c r="A386" s="15" t="s">
        <v>2016</v>
      </c>
      <c r="B386" s="15">
        <v>11390725</v>
      </c>
      <c r="C386" s="15">
        <v>20261231</v>
      </c>
      <c r="D386" s="25" t="s">
        <v>128</v>
      </c>
      <c r="E386" s="19">
        <f>VLOOKUP( $A386, Sovereignty!$A$2:$L$510, 12, 0 )</f>
        <v>0</v>
      </c>
      <c r="F386" s="38"/>
      <c r="G386" s="38"/>
    </row>
    <row r="387" spans="1:7" x14ac:dyDescent="0.2">
      <c r="A387" s="15" t="s">
        <v>2018</v>
      </c>
      <c r="B387" s="15">
        <v>14360101</v>
      </c>
      <c r="C387" s="15">
        <v>20261231</v>
      </c>
      <c r="D387" s="25" t="s">
        <v>767</v>
      </c>
      <c r="E387" s="19">
        <f>VLOOKUP( $A387, Sovereignty!$A$2:$L$510, 12, 0 )</f>
        <v>0</v>
      </c>
      <c r="F387" s="38"/>
      <c r="G387" s="38"/>
    </row>
    <row r="388" spans="1:7" x14ac:dyDescent="0.2">
      <c r="A388" s="15" t="s">
        <v>877</v>
      </c>
      <c r="B388" s="15">
        <v>14250101</v>
      </c>
      <c r="C388" s="15">
        <v>20261231</v>
      </c>
      <c r="D388" s="25" t="s">
        <v>768</v>
      </c>
      <c r="E388" s="19">
        <f>VLOOKUP( $A388, Sovereignty!$A$2:$L$510, 12, 0 )</f>
        <v>0</v>
      </c>
      <c r="F388" s="38"/>
      <c r="G388" s="38"/>
    </row>
    <row r="389" spans="1:7" x14ac:dyDescent="0.2">
      <c r="A389" s="15" t="s">
        <v>990</v>
      </c>
      <c r="B389" s="15">
        <v>15160314</v>
      </c>
      <c r="C389" s="15">
        <v>20261231</v>
      </c>
      <c r="D389" s="25" t="s">
        <v>152</v>
      </c>
      <c r="E389" s="19">
        <f>VLOOKUP( $A389, Sovereignty!$A$2:$L$510, 12, 0 )</f>
        <v>0</v>
      </c>
      <c r="F389" s="38"/>
      <c r="G389" s="38"/>
    </row>
    <row r="390" spans="1:7" x14ac:dyDescent="0.2">
      <c r="A390" s="15" t="s">
        <v>2023</v>
      </c>
      <c r="B390" s="15">
        <v>12780908</v>
      </c>
      <c r="C390" s="15">
        <v>20261231</v>
      </c>
      <c r="D390" s="25" t="s">
        <v>3</v>
      </c>
      <c r="E390" s="19">
        <f>VLOOKUP( $A390, Sovereignty!$A$2:$L$510, 12, 0 )</f>
        <v>0</v>
      </c>
      <c r="F390" s="38"/>
      <c r="G390" s="38"/>
    </row>
    <row r="391" spans="1:7" x14ac:dyDescent="0.2">
      <c r="A391" s="15" t="s">
        <v>995</v>
      </c>
      <c r="B391" s="15">
        <v>8430810</v>
      </c>
      <c r="C391" s="15">
        <v>20261231</v>
      </c>
      <c r="D391" s="25" t="s">
        <v>184</v>
      </c>
      <c r="E391" s="19">
        <f>VLOOKUP( $A391, Sovereignty!$A$2:$L$510, 12, 0 )</f>
        <v>0</v>
      </c>
      <c r="F391" s="38"/>
      <c r="G391" s="38"/>
    </row>
    <row r="392" spans="1:7" x14ac:dyDescent="0.2">
      <c r="A392" s="15" t="s">
        <v>2136</v>
      </c>
      <c r="B392" s="15">
        <v>19440910</v>
      </c>
      <c r="C392" s="15">
        <v>20261231</v>
      </c>
      <c r="D392" s="25" t="s">
        <v>92</v>
      </c>
      <c r="E392" s="19">
        <f>VLOOKUP( $A392, Sovereignty!$A$2:$L$510, 12, 0 )</f>
        <v>0</v>
      </c>
      <c r="F392" s="38"/>
      <c r="G392" s="38"/>
    </row>
    <row r="393" spans="1:7" x14ac:dyDescent="0.2">
      <c r="A393" s="15" t="s">
        <v>2137</v>
      </c>
      <c r="B393" s="15">
        <v>18390419</v>
      </c>
      <c r="C393" s="15">
        <v>19400510</v>
      </c>
      <c r="D393" s="25" t="s">
        <v>92</v>
      </c>
      <c r="E393" s="19">
        <f>VLOOKUP( $A393, Sovereignty!$A$2:$L$510, 12, 0 )</f>
        <v>0</v>
      </c>
      <c r="F393" s="38"/>
      <c r="G393" s="38"/>
    </row>
    <row r="394" spans="1:7" x14ac:dyDescent="0.2">
      <c r="A394" s="15" t="s">
        <v>2137</v>
      </c>
      <c r="B394" s="15">
        <v>18150101</v>
      </c>
      <c r="C394" s="15">
        <v>18390419</v>
      </c>
      <c r="D394" s="25" t="s">
        <v>2142</v>
      </c>
      <c r="E394" s="19">
        <f>VLOOKUP( $A394, Sovereignty!$A$2:$L$510, 12, 0 )</f>
        <v>0</v>
      </c>
      <c r="F394" s="38"/>
      <c r="G394" s="38"/>
    </row>
    <row r="395" spans="1:7" x14ac:dyDescent="0.2">
      <c r="A395" s="15" t="s">
        <v>2138</v>
      </c>
      <c r="B395" s="15">
        <v>13540101</v>
      </c>
      <c r="C395" s="15">
        <v>17970101</v>
      </c>
      <c r="D395" s="25" t="s">
        <v>2143</v>
      </c>
      <c r="E395" s="19">
        <f>VLOOKUP( $A395, Sovereignty!$A$2:$L$510, 12, 0 )</f>
        <v>0</v>
      </c>
      <c r="F395" s="38"/>
      <c r="G395" s="38"/>
    </row>
    <row r="396" spans="1:7" x14ac:dyDescent="0.2">
      <c r="A396" s="15" t="s">
        <v>997</v>
      </c>
      <c r="B396" s="15">
        <v>18301004</v>
      </c>
      <c r="C396" s="15">
        <v>20261231</v>
      </c>
      <c r="D396" s="25" t="s">
        <v>15</v>
      </c>
      <c r="E396" s="19">
        <f>VLOOKUP( $A396, Sovereignty!$A$2:$L$510, 12, 0 )</f>
        <v>0</v>
      </c>
      <c r="F396" s="38"/>
      <c r="G396" s="38"/>
    </row>
    <row r="397" spans="1:7" x14ac:dyDescent="0.2">
      <c r="A397" s="15" t="s">
        <v>2151</v>
      </c>
      <c r="B397" s="15">
        <v>18150316</v>
      </c>
      <c r="C397" s="15">
        <v>20261231</v>
      </c>
      <c r="D397" s="25" t="s">
        <v>112</v>
      </c>
      <c r="E397" s="19">
        <f>VLOOKUP( $A397, Sovereignty!$A$2:$L$510, 12, 0 )</f>
        <v>0</v>
      </c>
      <c r="F397" s="38"/>
      <c r="G397" s="38"/>
    </row>
    <row r="398" spans="1:7" x14ac:dyDescent="0.2">
      <c r="A398" s="15" t="s">
        <v>2153</v>
      </c>
      <c r="B398" s="15">
        <v>15810726</v>
      </c>
      <c r="C398" s="15">
        <v>18100701</v>
      </c>
      <c r="D398" s="25" t="s">
        <v>112</v>
      </c>
      <c r="E398" s="19">
        <f>VLOOKUP( $A398, Sovereignty!$A$2:$L$510, 12, 0 )</f>
        <v>0</v>
      </c>
      <c r="F398" s="38"/>
      <c r="G398" s="38"/>
    </row>
    <row r="399" spans="1:7" x14ac:dyDescent="0.2">
      <c r="A399" s="15" t="s">
        <v>2166</v>
      </c>
      <c r="B399" s="15">
        <v>18140114</v>
      </c>
      <c r="C399" s="15">
        <v>20261231</v>
      </c>
      <c r="D399" s="25" t="s">
        <v>41</v>
      </c>
      <c r="E399" s="19">
        <f>VLOOKUP( $A399, Sovereignty!$A$2:$L$510, 12, 0 )</f>
        <v>0</v>
      </c>
      <c r="F399" s="38"/>
      <c r="G399" s="38"/>
    </row>
    <row r="400" spans="1:7" x14ac:dyDescent="0.2">
      <c r="A400" s="15" t="s">
        <v>2164</v>
      </c>
      <c r="B400" s="15">
        <v>15370101</v>
      </c>
      <c r="C400" s="15">
        <v>18140114</v>
      </c>
      <c r="D400" s="25" t="s">
        <v>2170</v>
      </c>
      <c r="E400" s="19">
        <f>VLOOKUP( $A400, Sovereignty!$A$2:$L$510, 12, 0 )</f>
        <v>0</v>
      </c>
      <c r="F400" s="38"/>
      <c r="G400" s="38"/>
    </row>
    <row r="401" spans="1:7" x14ac:dyDescent="0.2">
      <c r="A401" s="15" t="s">
        <v>994</v>
      </c>
      <c r="B401" s="15">
        <v>18710118</v>
      </c>
      <c r="C401" s="15">
        <v>20261231</v>
      </c>
      <c r="D401" s="25" t="s">
        <v>57</v>
      </c>
      <c r="E401" s="19">
        <f>VLOOKUP( $A401, Sovereignty!$A$2:$L$510, 12, 0 )</f>
        <v>0</v>
      </c>
      <c r="F401" s="38"/>
      <c r="G401" s="38"/>
    </row>
    <row r="402" spans="1:7" x14ac:dyDescent="0.2">
      <c r="A402" s="15" t="s">
        <v>2172</v>
      </c>
      <c r="B402" s="15">
        <v>17010118</v>
      </c>
      <c r="C402" s="15">
        <v>18710118</v>
      </c>
      <c r="D402" s="25" t="s">
        <v>57</v>
      </c>
      <c r="E402" s="19">
        <f>VLOOKUP( $A402, Sovereignty!$A$2:$L$510, 12, 0 )</f>
        <v>0</v>
      </c>
      <c r="F402" s="38"/>
      <c r="G402" s="38"/>
    </row>
    <row r="403" spans="1:7" x14ac:dyDescent="0.2">
      <c r="A403" s="15" t="s">
        <v>2178</v>
      </c>
      <c r="B403" s="15">
        <v>18060801</v>
      </c>
      <c r="C403" s="15">
        <v>18710118</v>
      </c>
      <c r="D403" s="25" t="s">
        <v>2179</v>
      </c>
      <c r="E403" s="19">
        <f>VLOOKUP( $A403, Sovereignty!$A$2:$L$510, 12, 0 )</f>
        <v>0</v>
      </c>
      <c r="F403" s="38"/>
      <c r="G403" s="38"/>
    </row>
    <row r="404" spans="1:7" x14ac:dyDescent="0.2">
      <c r="A404" s="15" t="s">
        <v>2183</v>
      </c>
      <c r="B404" s="15">
        <v>18061211</v>
      </c>
      <c r="C404" s="15">
        <v>18710118</v>
      </c>
      <c r="D404" s="25" t="s">
        <v>2184</v>
      </c>
      <c r="E404" s="19">
        <f>VLOOKUP( $A404, Sovereignty!$A$2:$L$510, 12, 0 )</f>
        <v>0</v>
      </c>
      <c r="F404" s="38"/>
      <c r="G404" s="38"/>
    </row>
    <row r="405" spans="1:7" x14ac:dyDescent="0.2">
      <c r="A405" s="15" t="s">
        <v>2188</v>
      </c>
      <c r="B405" s="15">
        <v>18141012</v>
      </c>
      <c r="C405" s="15">
        <v>18660920</v>
      </c>
      <c r="D405" s="25" t="s">
        <v>2189</v>
      </c>
      <c r="E405" s="19">
        <f>VLOOKUP( $A405, Sovereignty!$A$2:$L$510, 12, 0 )</f>
        <v>0</v>
      </c>
      <c r="F405" s="38"/>
      <c r="G405" s="38"/>
    </row>
    <row r="406" spans="1:7" x14ac:dyDescent="0.2">
      <c r="A406" s="15" t="s">
        <v>2194</v>
      </c>
      <c r="B406" s="15">
        <v>18061226</v>
      </c>
      <c r="C406" s="15">
        <v>18710118</v>
      </c>
      <c r="D406" s="25" t="s">
        <v>2192</v>
      </c>
      <c r="E406" s="19">
        <f>VLOOKUP( $A406, Sovereignty!$A$2:$L$510, 12, 0 )</f>
        <v>0</v>
      </c>
      <c r="F406" s="38"/>
      <c r="G406" s="38"/>
    </row>
    <row r="407" spans="1:7" x14ac:dyDescent="0.2">
      <c r="A407" s="15" t="s">
        <v>2197</v>
      </c>
      <c r="B407" s="15">
        <v>18061024</v>
      </c>
      <c r="C407" s="15">
        <v>18710118</v>
      </c>
      <c r="D407" s="25" t="s">
        <v>2198</v>
      </c>
      <c r="E407" s="19">
        <f>VLOOKUP( $A407, Sovereignty!$A$2:$L$510, 12, 0 )</f>
        <v>0</v>
      </c>
      <c r="F407" s="38"/>
      <c r="G407" s="38"/>
    </row>
    <row r="408" spans="1:7" x14ac:dyDescent="0.2">
      <c r="A408" s="15" t="s">
        <v>2203</v>
      </c>
      <c r="B408" s="15">
        <v>18150608</v>
      </c>
      <c r="C408" s="15">
        <v>18710118</v>
      </c>
      <c r="D408" s="25" t="s">
        <v>2199</v>
      </c>
      <c r="E408" s="19">
        <f>VLOOKUP( $A408, Sovereignty!$A$2:$L$510, 12, 0 )</f>
        <v>0</v>
      </c>
      <c r="F408" s="38"/>
      <c r="G408" s="38"/>
    </row>
    <row r="409" spans="1:7" x14ac:dyDescent="0.2">
      <c r="A409" s="15" t="s">
        <v>2211</v>
      </c>
      <c r="B409" s="15">
        <v>19490523</v>
      </c>
      <c r="C409" s="15">
        <v>19901003</v>
      </c>
      <c r="D409" s="25" t="s">
        <v>2209</v>
      </c>
      <c r="E409" s="19">
        <f>VLOOKUP( $A409, Sovereignty!$A$2:$L$510, 12, 0 )</f>
        <v>0</v>
      </c>
      <c r="F409" s="38"/>
      <c r="G409" s="38"/>
    </row>
    <row r="410" spans="1:7" x14ac:dyDescent="0.2">
      <c r="A410" s="15" t="s">
        <v>2212</v>
      </c>
      <c r="B410" s="15">
        <v>19490523</v>
      </c>
      <c r="C410" s="15">
        <v>19901003</v>
      </c>
      <c r="D410" s="25" t="s">
        <v>2210</v>
      </c>
      <c r="E410" s="19">
        <f>VLOOKUP( $A410, Sovereignty!$A$2:$L$510, 12, 0 )</f>
        <v>0</v>
      </c>
      <c r="F410" s="38"/>
      <c r="G410" s="38"/>
    </row>
    <row r="411" spans="1:7" x14ac:dyDescent="0.2">
      <c r="A411" s="15" t="s">
        <v>2208</v>
      </c>
      <c r="B411" s="15">
        <v>19901003</v>
      </c>
      <c r="C411" s="15">
        <v>20261231</v>
      </c>
      <c r="D411" s="25" t="s">
        <v>57</v>
      </c>
      <c r="E411" s="19">
        <f>VLOOKUP( $A411, Sovereignty!$A$2:$L$510, 12, 0 )</f>
        <v>0</v>
      </c>
      <c r="F411" s="38"/>
      <c r="G411" s="38"/>
    </row>
    <row r="412" spans="1:7" x14ac:dyDescent="0.2">
      <c r="A412" s="15" t="s">
        <v>2217</v>
      </c>
      <c r="B412" s="15">
        <v>19450508</v>
      </c>
      <c r="C412" s="15">
        <v>19490523</v>
      </c>
      <c r="D412" s="25" t="s">
        <v>2229</v>
      </c>
      <c r="E412" s="19">
        <f>VLOOKUP( $A412, Sovereignty!$A$2:$L$510, 12, 0 )</f>
        <v>0</v>
      </c>
      <c r="F412" s="38"/>
      <c r="G412" s="38"/>
    </row>
    <row r="413" spans="1:7" x14ac:dyDescent="0.2">
      <c r="A413" s="15" t="s">
        <v>2218</v>
      </c>
      <c r="B413" s="15">
        <v>19450508</v>
      </c>
      <c r="C413" s="15">
        <v>19490523</v>
      </c>
      <c r="D413" s="25" t="s">
        <v>2228</v>
      </c>
      <c r="E413" s="19">
        <f>VLOOKUP( $A413, Sovereignty!$A$2:$L$510, 12, 0 )</f>
        <v>0</v>
      </c>
      <c r="F413" s="38"/>
      <c r="G413" s="38"/>
    </row>
    <row r="414" spans="1:7" x14ac:dyDescent="0.2">
      <c r="A414" s="15" t="s">
        <v>2220</v>
      </c>
      <c r="B414" s="15">
        <v>19450508</v>
      </c>
      <c r="C414" s="15">
        <v>19490523</v>
      </c>
      <c r="D414" s="25" t="s">
        <v>2230</v>
      </c>
      <c r="E414" s="19">
        <f>VLOOKUP( $A414, Sovereignty!$A$2:$L$510, 12, 0 )</f>
        <v>0</v>
      </c>
      <c r="F414" s="38"/>
      <c r="G414" s="38"/>
    </row>
    <row r="415" spans="1:7" x14ac:dyDescent="0.2">
      <c r="A415" s="15" t="s">
        <v>2219</v>
      </c>
      <c r="B415" s="15">
        <v>19450508</v>
      </c>
      <c r="C415" s="15">
        <v>19490523</v>
      </c>
      <c r="D415" s="25" t="s">
        <v>2231</v>
      </c>
      <c r="E415" s="19">
        <f>VLOOKUP( $A415, Sovereignty!$A$2:$L$510, 12, 0 )</f>
        <v>0</v>
      </c>
      <c r="F415" s="38"/>
      <c r="G415" s="38"/>
    </row>
    <row r="416" spans="1:7" x14ac:dyDescent="0.2">
      <c r="A416" s="15" t="s">
        <v>984</v>
      </c>
      <c r="B416" s="15">
        <v>19171206</v>
      </c>
      <c r="C416" s="15">
        <v>20261231</v>
      </c>
      <c r="D416" s="25" t="s">
        <v>55</v>
      </c>
      <c r="E416" s="19">
        <f>VLOOKUP( $A416, Sovereignty!$A$2:$L$510, 12, 0 )</f>
        <v>0</v>
      </c>
      <c r="F416" s="38"/>
      <c r="G416" s="38"/>
    </row>
    <row r="417" spans="1:7" x14ac:dyDescent="0.2">
      <c r="A417" s="15" t="s">
        <v>2232</v>
      </c>
      <c r="B417" s="15">
        <v>18090917</v>
      </c>
      <c r="C417" s="15">
        <v>19171206</v>
      </c>
      <c r="D417" s="25" t="s">
        <v>55</v>
      </c>
      <c r="E417" s="19">
        <f>VLOOKUP( $A417, Sovereignty!$A$2:$L$510, 12, 0 )</f>
        <v>0</v>
      </c>
      <c r="F417" s="40"/>
      <c r="G417" s="40"/>
    </row>
    <row r="418" spans="1:7" x14ac:dyDescent="0.2">
      <c r="A418" s="15" t="s">
        <v>986</v>
      </c>
      <c r="B418" s="15">
        <v>18090917</v>
      </c>
      <c r="C418" s="15">
        <v>20261231</v>
      </c>
      <c r="D418" s="25" t="s">
        <v>156</v>
      </c>
      <c r="E418" s="19">
        <f>VLOOKUP( $A418, Sovereignty!$A$2:$L$510, 12, 0 )</f>
        <v>0</v>
      </c>
      <c r="F418" s="40"/>
      <c r="G418" s="40"/>
    </row>
    <row r="419" spans="1:7" x14ac:dyDescent="0.2">
      <c r="A419" s="15" t="s">
        <v>986</v>
      </c>
      <c r="B419" s="15">
        <v>15230101</v>
      </c>
      <c r="C419" s="15">
        <v>18090917</v>
      </c>
      <c r="D419" s="25" t="s">
        <v>2240</v>
      </c>
      <c r="E419" s="19">
        <f>VLOOKUP( $A419, Sovereignty!$A$2:$L$510, 12, 0 )</f>
        <v>0</v>
      </c>
      <c r="F419" s="38"/>
      <c r="G419" s="38"/>
    </row>
    <row r="420" spans="1:7" x14ac:dyDescent="0.2">
      <c r="A420" s="15" t="s">
        <v>2243</v>
      </c>
      <c r="B420" s="15">
        <v>19000101</v>
      </c>
      <c r="C420" s="15">
        <v>20261231</v>
      </c>
      <c r="D420" s="25" t="s">
        <v>186</v>
      </c>
      <c r="E420" s="19">
        <f>VLOOKUP( $A420, Sovereignty!$A$2:$L$510, 12, 0 )</f>
        <v>0</v>
      </c>
      <c r="F420" s="38"/>
      <c r="G420" s="38"/>
    </row>
    <row r="421" spans="1:7" x14ac:dyDescent="0.2">
      <c r="A421" s="15" t="s">
        <v>2243</v>
      </c>
      <c r="B421" s="15">
        <v>18140114</v>
      </c>
      <c r="C421" s="15">
        <v>19000101</v>
      </c>
      <c r="D421" s="25" t="s">
        <v>186</v>
      </c>
      <c r="E421" s="19">
        <f>VLOOKUP( $A421, Sovereignty!$A$2:$L$510, 12, 0 )</f>
        <v>0</v>
      </c>
      <c r="F421" s="38"/>
      <c r="G421" s="38"/>
    </row>
    <row r="422" spans="1:7" x14ac:dyDescent="0.2">
      <c r="A422" s="15" t="s">
        <v>2244</v>
      </c>
      <c r="B422" s="15">
        <v>19200209</v>
      </c>
      <c r="C422" s="15">
        <v>20261231</v>
      </c>
      <c r="D422" s="25" t="s">
        <v>769</v>
      </c>
      <c r="E422" s="19">
        <f>VLOOKUP( $A422, Sovereignty!$A$2:$L$510, 12, 0 )</f>
        <v>0</v>
      </c>
      <c r="F422" s="38"/>
      <c r="G422" s="38"/>
    </row>
    <row r="423" spans="1:7" x14ac:dyDescent="0.2">
      <c r="A423" s="15" t="s">
        <v>2254</v>
      </c>
      <c r="B423" s="15">
        <v>19221206</v>
      </c>
      <c r="C423" s="15">
        <v>20261231</v>
      </c>
      <c r="D423" s="25" t="s">
        <v>2255</v>
      </c>
      <c r="E423" s="19">
        <f>VLOOKUP( $A423, Sovereignty!$A$2:$L$510, 12, 0 )</f>
        <v>0</v>
      </c>
      <c r="F423" s="38"/>
      <c r="G423" s="38"/>
    </row>
    <row r="424" spans="1:7" x14ac:dyDescent="0.2">
      <c r="A424" s="15" t="s">
        <v>982</v>
      </c>
      <c r="B424" s="15">
        <v>18010101</v>
      </c>
      <c r="C424" s="15">
        <v>19221206</v>
      </c>
      <c r="D424" s="25" t="s">
        <v>2256</v>
      </c>
      <c r="E424" s="19">
        <f>VLOOKUP( $A424, Sovereignty!$A$2:$L$510, 12, 0 )</f>
        <v>0</v>
      </c>
      <c r="F424" s="38"/>
      <c r="G424" s="38"/>
    </row>
    <row r="425" spans="1:7" x14ac:dyDescent="0.2">
      <c r="A425" s="15" t="s">
        <v>2253</v>
      </c>
      <c r="B425" s="15">
        <v>17070501</v>
      </c>
      <c r="C425" s="15">
        <v>18010101</v>
      </c>
      <c r="D425" s="25" t="s">
        <v>2257</v>
      </c>
      <c r="E425" s="19">
        <f>VLOOKUP( $A425, Sovereignty!$A$2:$L$510, 12, 0 )</f>
        <v>0</v>
      </c>
      <c r="F425" s="38"/>
      <c r="G425" s="38"/>
    </row>
    <row r="426" spans="1:7" x14ac:dyDescent="0.2">
      <c r="A426" s="15" t="s">
        <v>2111</v>
      </c>
      <c r="B426" s="15">
        <v>18140114</v>
      </c>
      <c r="C426" s="15">
        <v>20261231</v>
      </c>
      <c r="D426" s="25" t="s">
        <v>1608</v>
      </c>
      <c r="E426" s="19">
        <f>VLOOKUP( $A426, Sovereignty!$A$2:$L$510, 12, 0 )</f>
        <v>0</v>
      </c>
      <c r="F426" s="38"/>
      <c r="G426" s="38"/>
    </row>
    <row r="427" spans="1:7" x14ac:dyDescent="0.2">
      <c r="A427" s="15" t="s">
        <v>2246</v>
      </c>
      <c r="B427" s="15">
        <v>19221206</v>
      </c>
      <c r="C427" s="15">
        <v>20261231</v>
      </c>
      <c r="D427" s="25" t="s">
        <v>73</v>
      </c>
      <c r="E427" s="19">
        <f>VLOOKUP( $A427, Sovereignty!$A$2:$L$510, 12, 0 )</f>
        <v>0</v>
      </c>
      <c r="F427" s="38"/>
      <c r="G427" s="38"/>
    </row>
    <row r="428" spans="1:7" x14ac:dyDescent="0.2">
      <c r="A428" s="15" t="s">
        <v>2374</v>
      </c>
      <c r="B428" s="15">
        <v>15410101</v>
      </c>
      <c r="C428" s="15">
        <v>18010101</v>
      </c>
      <c r="D428" s="25" t="s">
        <v>73</v>
      </c>
      <c r="E428" s="19">
        <f>VLOOKUP( $A428, Sovereignty!$A$2:$L$510, 12, 0 )</f>
        <v>0</v>
      </c>
      <c r="F428" s="38"/>
      <c r="G428" s="38"/>
    </row>
    <row r="429" spans="1:7" x14ac:dyDescent="0.2">
      <c r="A429" s="15" t="s">
        <v>2262</v>
      </c>
      <c r="B429" s="15">
        <v>19181201</v>
      </c>
      <c r="C429" s="15">
        <v>20261231</v>
      </c>
      <c r="D429" s="25" t="s">
        <v>68</v>
      </c>
      <c r="E429" s="19">
        <f>VLOOKUP( $A429, Sovereignty!$A$2:$L$510, 12, 0 )</f>
        <v>0</v>
      </c>
      <c r="F429" s="38"/>
      <c r="G429" s="38"/>
    </row>
    <row r="430" spans="1:7" x14ac:dyDescent="0.2">
      <c r="A430" s="15" t="s">
        <v>2263</v>
      </c>
      <c r="B430" s="15">
        <v>18140114</v>
      </c>
      <c r="C430" s="15">
        <v>19181201</v>
      </c>
      <c r="D430" s="25" t="s">
        <v>68</v>
      </c>
      <c r="E430" s="19">
        <f>VLOOKUP( $A430, Sovereignty!$A$2:$L$510, 12, 0 )</f>
        <v>0</v>
      </c>
      <c r="F430" s="38"/>
      <c r="G430" s="38"/>
    </row>
    <row r="431" spans="1:7" x14ac:dyDescent="0.2">
      <c r="A431" s="15" t="s">
        <v>2030</v>
      </c>
      <c r="B431" s="15">
        <v>19730710</v>
      </c>
      <c r="C431" s="15">
        <v>20261231</v>
      </c>
      <c r="D431" s="25" t="s">
        <v>269</v>
      </c>
      <c r="E431" s="19">
        <f>VLOOKUP( $A431, Sovereignty!$A$2:$L$510, 12, 0 )</f>
        <v>0</v>
      </c>
      <c r="F431" s="38"/>
      <c r="G431" s="38"/>
    </row>
    <row r="432" spans="1:7" x14ac:dyDescent="0.2">
      <c r="A432" s="15" t="s">
        <v>2029</v>
      </c>
      <c r="B432" s="15">
        <v>17180101</v>
      </c>
      <c r="C432" s="15">
        <v>19730710</v>
      </c>
      <c r="D432" s="25" t="s">
        <v>269</v>
      </c>
      <c r="E432" s="19">
        <f>VLOOKUP( $A432, Sovereignty!$A$2:$L$510, 12, 0 )</f>
        <v>0</v>
      </c>
      <c r="F432" s="38"/>
      <c r="G432" s="38"/>
    </row>
    <row r="433" spans="1:7" x14ac:dyDescent="0.2">
      <c r="A433" s="15" t="s">
        <v>1000</v>
      </c>
      <c r="B433" s="15">
        <v>19661130</v>
      </c>
      <c r="C433" s="15">
        <v>20261231</v>
      </c>
      <c r="D433" s="25" t="s">
        <v>13</v>
      </c>
      <c r="E433" s="19">
        <f>VLOOKUP( $A433, Sovereignty!$A$2:$L$510, 12, 0 )</f>
        <v>0</v>
      </c>
      <c r="F433" s="38"/>
      <c r="G433" s="38"/>
    </row>
    <row r="434" spans="1:7" x14ac:dyDescent="0.2">
      <c r="A434" s="15" t="s">
        <v>2033</v>
      </c>
      <c r="B434" s="15">
        <v>16270217</v>
      </c>
      <c r="C434" s="15">
        <v>19661130</v>
      </c>
      <c r="D434" s="25" t="s">
        <v>762</v>
      </c>
      <c r="E434" s="19">
        <f>VLOOKUP( $A434, Sovereignty!$A$2:$L$510, 12, 0 )</f>
        <v>0</v>
      </c>
      <c r="F434" s="38"/>
      <c r="G434" s="38"/>
    </row>
    <row r="435" spans="1:7" x14ac:dyDescent="0.2">
      <c r="A435" s="15" t="s">
        <v>853</v>
      </c>
      <c r="B435" s="15">
        <v>19860101</v>
      </c>
      <c r="C435" s="15">
        <v>20261231</v>
      </c>
      <c r="D435" s="25" t="s">
        <v>762</v>
      </c>
      <c r="E435" s="19">
        <f>VLOOKUP( $A435, Sovereignty!$A$2:$L$510, 12, 0 )</f>
        <v>0</v>
      </c>
      <c r="F435" s="38"/>
      <c r="G435" s="38"/>
    </row>
    <row r="436" spans="1:7" x14ac:dyDescent="0.2">
      <c r="A436" s="15" t="s">
        <v>862</v>
      </c>
      <c r="B436" s="15">
        <v>20101010</v>
      </c>
      <c r="C436" s="15">
        <v>20261231</v>
      </c>
      <c r="D436" s="25" t="s">
        <v>776</v>
      </c>
      <c r="E436" s="19">
        <f>VLOOKUP( $A436, Sovereignty!$A$2:$L$510, 12, 0 )</f>
        <v>0</v>
      </c>
      <c r="F436" s="38"/>
      <c r="G436" s="38"/>
    </row>
    <row r="437" spans="1:7" x14ac:dyDescent="0.2">
      <c r="A437" s="15" t="s">
        <v>861</v>
      </c>
      <c r="B437" s="15">
        <v>20101010</v>
      </c>
      <c r="C437" s="15">
        <v>20261231</v>
      </c>
      <c r="D437" s="25" t="s">
        <v>763</v>
      </c>
      <c r="E437" s="19">
        <f>VLOOKUP( $A437, Sovereignty!$A$2:$L$510, 12, 0 )</f>
        <v>0</v>
      </c>
      <c r="F437" s="38"/>
      <c r="G437" s="38"/>
    </row>
    <row r="438" spans="1:7" x14ac:dyDescent="0.2">
      <c r="A438" s="15" t="s">
        <v>1016</v>
      </c>
      <c r="B438" s="15">
        <v>19620831</v>
      </c>
      <c r="C438" s="15">
        <v>20261231</v>
      </c>
      <c r="D438" s="25" t="s">
        <v>1609</v>
      </c>
      <c r="E438" s="19">
        <f>VLOOKUP( $A438, Sovereignty!$A$2:$L$510, 12, 0 )</f>
        <v>0</v>
      </c>
      <c r="F438" s="38"/>
      <c r="G438" s="38"/>
    </row>
    <row r="439" spans="1:7" x14ac:dyDescent="0.2">
      <c r="A439" s="15" t="s">
        <v>2041</v>
      </c>
      <c r="B439" s="15">
        <v>18140530</v>
      </c>
      <c r="C439" s="15">
        <v>19620831</v>
      </c>
      <c r="D439" s="25" t="s">
        <v>1609</v>
      </c>
      <c r="E439" s="19">
        <f>VLOOKUP( $A439, Sovereignty!$A$2:$L$510, 12, 0 )</f>
        <v>0</v>
      </c>
      <c r="F439" s="38"/>
      <c r="G439" s="38"/>
    </row>
    <row r="440" spans="1:7" x14ac:dyDescent="0.2">
      <c r="A440" s="15" t="s">
        <v>1002</v>
      </c>
      <c r="B440" s="15">
        <v>19740207</v>
      </c>
      <c r="C440" s="15">
        <v>20261231</v>
      </c>
      <c r="D440" s="25" t="s">
        <v>60</v>
      </c>
      <c r="E440" s="19">
        <f>VLOOKUP( $A440, Sovereignty!$A$2:$L$510, 12, 0 )</f>
        <v>0</v>
      </c>
      <c r="F440" s="38"/>
      <c r="G440" s="38"/>
    </row>
    <row r="441" spans="1:7" x14ac:dyDescent="0.2">
      <c r="A441" s="15" t="s">
        <v>2047</v>
      </c>
      <c r="B441" s="15">
        <v>17830903</v>
      </c>
      <c r="C441" s="15">
        <v>19740207</v>
      </c>
      <c r="D441" s="25" t="s">
        <v>60</v>
      </c>
      <c r="E441" s="19">
        <f>VLOOKUP( $A441, Sovereignty!$A$2:$L$510, 12, 0 )</f>
        <v>0</v>
      </c>
      <c r="F441" s="38"/>
      <c r="G441" s="38"/>
    </row>
    <row r="442" spans="1:7" x14ac:dyDescent="0.2">
      <c r="A442" s="15" t="s">
        <v>2046</v>
      </c>
      <c r="B442" s="15">
        <v>17790701</v>
      </c>
      <c r="C442" s="15">
        <v>17830903</v>
      </c>
      <c r="D442" s="25" t="s">
        <v>60</v>
      </c>
      <c r="E442" s="19">
        <f>VLOOKUP( $A442, Sovereignty!$A$2:$L$510, 12, 0 )</f>
        <v>0</v>
      </c>
      <c r="F442" s="38"/>
      <c r="G442" s="38"/>
    </row>
    <row r="443" spans="1:7" x14ac:dyDescent="0.2">
      <c r="A443" s="15" t="s">
        <v>2049</v>
      </c>
      <c r="B443" s="15">
        <v>17630210</v>
      </c>
      <c r="C443" s="15">
        <v>17790701</v>
      </c>
      <c r="D443" s="25" t="s">
        <v>60</v>
      </c>
      <c r="E443" s="19">
        <f>VLOOKUP( $A443, Sovereignty!$A$2:$L$510, 12, 0 )</f>
        <v>0</v>
      </c>
      <c r="F443" s="38"/>
      <c r="G443" s="38"/>
    </row>
    <row r="444" spans="1:7" x14ac:dyDescent="0.2">
      <c r="A444" s="15" t="s">
        <v>2045</v>
      </c>
      <c r="B444" s="15">
        <v>16490101</v>
      </c>
      <c r="C444" s="15">
        <v>17630210</v>
      </c>
      <c r="D444" s="25" t="s">
        <v>60</v>
      </c>
      <c r="E444" s="19">
        <f>VLOOKUP( $A444, Sovereignty!$A$2:$L$510, 12, 0 )</f>
        <v>0</v>
      </c>
      <c r="F444" s="38"/>
      <c r="G444" s="38"/>
    </row>
    <row r="445" spans="1:7" x14ac:dyDescent="0.2">
      <c r="A445" s="15" t="s">
        <v>1009</v>
      </c>
      <c r="B445" s="15">
        <v>19791027</v>
      </c>
      <c r="C445" s="15">
        <v>20261231</v>
      </c>
      <c r="D445" s="25" t="s">
        <v>1610</v>
      </c>
      <c r="E445" s="19">
        <f>VLOOKUP( $A445, Sovereignty!$A$2:$L$510, 12, 0 )</f>
        <v>0</v>
      </c>
      <c r="F445" s="38"/>
      <c r="G445" s="38"/>
    </row>
    <row r="446" spans="1:7" x14ac:dyDescent="0.2">
      <c r="A446" s="15" t="s">
        <v>2053</v>
      </c>
      <c r="B446" s="15">
        <v>17830903</v>
      </c>
      <c r="C446" s="15">
        <v>19791027</v>
      </c>
      <c r="D446" s="25" t="s">
        <v>1610</v>
      </c>
      <c r="E446" s="19">
        <f>VLOOKUP( $A446, Sovereignty!$A$2:$L$510, 12, 0 )</f>
        <v>0</v>
      </c>
      <c r="F446" s="38"/>
      <c r="G446" s="38"/>
    </row>
    <row r="447" spans="1:7" x14ac:dyDescent="0.2">
      <c r="A447" s="15" t="s">
        <v>2052</v>
      </c>
      <c r="B447" s="15">
        <v>17790701</v>
      </c>
      <c r="C447" s="15">
        <v>17830903</v>
      </c>
      <c r="D447" s="25" t="s">
        <v>1610</v>
      </c>
      <c r="E447" s="19">
        <f>VLOOKUP( $A447, Sovereignty!$A$2:$L$510, 12, 0 )</f>
        <v>0</v>
      </c>
      <c r="F447" s="38"/>
      <c r="G447" s="38"/>
    </row>
    <row r="448" spans="1:7" x14ac:dyDescent="0.2">
      <c r="A448" s="15" t="s">
        <v>2051</v>
      </c>
      <c r="B448" s="15">
        <v>17630210</v>
      </c>
      <c r="C448" s="15">
        <v>17790701</v>
      </c>
      <c r="D448" s="25" t="s">
        <v>1610</v>
      </c>
      <c r="E448" s="19">
        <f>VLOOKUP( $A448, Sovereignty!$A$2:$L$510, 12, 0 )</f>
        <v>0</v>
      </c>
      <c r="F448" s="38"/>
      <c r="G448" s="38"/>
    </row>
    <row r="449" spans="1:7" x14ac:dyDescent="0.2">
      <c r="A449" s="15" t="s">
        <v>2050</v>
      </c>
      <c r="B449" s="15">
        <v>17190101</v>
      </c>
      <c r="C449" s="15">
        <v>17630210</v>
      </c>
      <c r="D449" s="25" t="s">
        <v>1610</v>
      </c>
      <c r="E449" s="19">
        <f>VLOOKUP( $A449, Sovereignty!$A$2:$L$510, 12, 0 )</f>
        <v>0</v>
      </c>
      <c r="F449" s="38"/>
      <c r="G449" s="38"/>
    </row>
    <row r="450" spans="1:7" x14ac:dyDescent="0.2">
      <c r="A450" s="15" t="s">
        <v>866</v>
      </c>
      <c r="B450" s="15">
        <v>20101010</v>
      </c>
      <c r="C450" s="15">
        <v>20261231</v>
      </c>
      <c r="D450" s="25" t="s">
        <v>1611</v>
      </c>
      <c r="E450" s="19">
        <f>VLOOKUP( $A450, Sovereignty!$A$2:$L$510, 12, 0 )</f>
        <v>0</v>
      </c>
      <c r="F450" s="38"/>
      <c r="G450" s="38"/>
    </row>
    <row r="451" spans="1:7" x14ac:dyDescent="0.2">
      <c r="A451" s="15" t="s">
        <v>856</v>
      </c>
      <c r="B451" s="15">
        <v>19860101</v>
      </c>
      <c r="C451" s="15">
        <v>20101010</v>
      </c>
      <c r="D451" s="25" t="s">
        <v>2037</v>
      </c>
      <c r="E451" s="19">
        <f>VLOOKUP( $A451, Sovereignty!$A$2:$L$510, 12, 0 )</f>
        <v>0</v>
      </c>
      <c r="F451" s="38"/>
      <c r="G451" s="38"/>
    </row>
    <row r="452" spans="1:7" x14ac:dyDescent="0.2">
      <c r="A452" s="15" t="s">
        <v>856</v>
      </c>
      <c r="B452" s="15">
        <v>19541210</v>
      </c>
      <c r="C452" s="15">
        <v>19860101</v>
      </c>
      <c r="D452" s="25" t="s">
        <v>1612</v>
      </c>
      <c r="E452" s="19">
        <f>VLOOKUP( $A452, Sovereignty!$A$2:$L$510, 12, 0 )</f>
        <v>0</v>
      </c>
      <c r="F452" s="38"/>
      <c r="G452" s="38"/>
    </row>
    <row r="453" spans="1:7" x14ac:dyDescent="0.2">
      <c r="A453" s="15" t="s">
        <v>859</v>
      </c>
      <c r="B453" s="15">
        <v>16340101</v>
      </c>
      <c r="C453" s="15">
        <v>19541210</v>
      </c>
      <c r="D453" s="25" t="s">
        <v>1612</v>
      </c>
      <c r="E453" s="19">
        <f>VLOOKUP( $A453, Sovereignty!$A$2:$L$510, 12, 0 )</f>
        <v>0</v>
      </c>
      <c r="F453" s="38"/>
      <c r="G453" s="38"/>
    </row>
    <row r="454" spans="1:7" x14ac:dyDescent="0.2">
      <c r="A454" s="15" t="s">
        <v>1010</v>
      </c>
      <c r="B454" s="15">
        <v>19790222</v>
      </c>
      <c r="C454" s="15">
        <v>20261231</v>
      </c>
      <c r="D454" s="25" t="s">
        <v>1613</v>
      </c>
      <c r="E454" s="19">
        <f>VLOOKUP( $A454, Sovereignty!$A$2:$L$510, 12, 0 )</f>
        <v>0</v>
      </c>
      <c r="F454" s="38"/>
      <c r="G454" s="38"/>
    </row>
    <row r="455" spans="1:7" x14ac:dyDescent="0.2">
      <c r="A455" s="15" t="s">
        <v>2058</v>
      </c>
      <c r="B455" s="15">
        <v>18030101</v>
      </c>
      <c r="C455" s="15">
        <v>19790222</v>
      </c>
      <c r="D455" s="25" t="s">
        <v>1613</v>
      </c>
      <c r="E455" s="19">
        <f>VLOOKUP( $A455, Sovereignty!$A$2:$L$510, 12, 0 )</f>
        <v>0</v>
      </c>
      <c r="F455" s="38"/>
      <c r="G455" s="38"/>
    </row>
    <row r="456" spans="1:7" x14ac:dyDescent="0.2">
      <c r="A456" s="15" t="s">
        <v>2057</v>
      </c>
      <c r="B456" s="15">
        <v>17830903</v>
      </c>
      <c r="C456" s="15">
        <v>18030101</v>
      </c>
      <c r="D456" s="25" t="s">
        <v>1613</v>
      </c>
      <c r="E456" s="19">
        <f>VLOOKUP( $A456, Sovereignty!$A$2:$L$510, 12, 0 )</f>
        <v>0</v>
      </c>
      <c r="F456" s="38"/>
      <c r="G456" s="38"/>
    </row>
    <row r="457" spans="1:7" x14ac:dyDescent="0.2">
      <c r="A457" s="15" t="s">
        <v>2056</v>
      </c>
      <c r="B457" s="15">
        <v>17630210</v>
      </c>
      <c r="C457" s="15">
        <v>17830903</v>
      </c>
      <c r="D457" s="25" t="s">
        <v>1613</v>
      </c>
      <c r="E457" s="19">
        <f>VLOOKUP( $A457, Sovereignty!$A$2:$L$510, 12, 0 )</f>
        <v>0</v>
      </c>
      <c r="F457" s="38"/>
      <c r="G457" s="38"/>
    </row>
    <row r="458" spans="1:7" x14ac:dyDescent="0.2">
      <c r="A458" s="15" t="s">
        <v>2055</v>
      </c>
      <c r="B458" s="15">
        <v>16740101</v>
      </c>
      <c r="C458" s="15">
        <v>17630210</v>
      </c>
      <c r="D458" s="25" t="s">
        <v>1613</v>
      </c>
      <c r="E458" s="19">
        <f>VLOOKUP( $A458, Sovereignty!$A$2:$L$510, 12, 0 )</f>
        <v>0</v>
      </c>
      <c r="F458" s="38"/>
      <c r="G458" s="38"/>
    </row>
    <row r="459" spans="1:7" x14ac:dyDescent="0.2">
      <c r="A459" s="15" t="s">
        <v>2376</v>
      </c>
      <c r="B459" s="15">
        <v>16480101</v>
      </c>
      <c r="C459" s="15">
        <v>20261231</v>
      </c>
      <c r="D459" s="25" t="s">
        <v>760</v>
      </c>
      <c r="E459" s="19">
        <f>VLOOKUP( $A459, Sovereignty!$A$2:$L$510, 12, 0 )</f>
        <v>0</v>
      </c>
      <c r="F459" s="38"/>
      <c r="G459" s="38"/>
    </row>
    <row r="460" spans="1:7" x14ac:dyDescent="0.2">
      <c r="A460" s="15" t="s">
        <v>1004</v>
      </c>
      <c r="B460" s="15">
        <v>19781103</v>
      </c>
      <c r="C460" s="15">
        <v>20261231</v>
      </c>
      <c r="D460" s="25" t="s">
        <v>43</v>
      </c>
      <c r="E460" s="19">
        <f>VLOOKUP( $A460, Sovereignty!$A$2:$L$510, 12, 0 )</f>
        <v>0</v>
      </c>
      <c r="F460" s="38"/>
      <c r="G460" s="38"/>
    </row>
    <row r="461" spans="1:7" x14ac:dyDescent="0.2">
      <c r="A461" s="15" t="s">
        <v>2062</v>
      </c>
      <c r="B461" s="15">
        <v>17630210</v>
      </c>
      <c r="C461" s="15">
        <v>19781103</v>
      </c>
      <c r="D461" s="25" t="s">
        <v>43</v>
      </c>
      <c r="E461" s="19">
        <f>VLOOKUP( $A461, Sovereignty!$A$2:$L$510, 12, 0 )</f>
        <v>0</v>
      </c>
      <c r="F461" s="38"/>
      <c r="G461" s="38"/>
    </row>
    <row r="462" spans="1:7" x14ac:dyDescent="0.2">
      <c r="A462" s="15" t="s">
        <v>2061</v>
      </c>
      <c r="B462" s="15">
        <v>16350101</v>
      </c>
      <c r="C462" s="15">
        <v>17630210</v>
      </c>
      <c r="D462" s="25" t="s">
        <v>43</v>
      </c>
      <c r="E462" s="19">
        <f>VLOOKUP( $A462, Sovereignty!$A$2:$L$510, 12, 0 )</f>
        <v>0</v>
      </c>
      <c r="F462" s="38"/>
      <c r="G462" s="38"/>
    </row>
    <row r="463" spans="1:7" x14ac:dyDescent="0.2">
      <c r="A463" s="15" t="s">
        <v>849</v>
      </c>
      <c r="B463" s="15">
        <v>16350101</v>
      </c>
      <c r="C463" s="15">
        <v>20261231</v>
      </c>
      <c r="D463" s="25" t="s">
        <v>761</v>
      </c>
      <c r="E463" s="19">
        <f>VLOOKUP( $A463, Sovereignty!$A$2:$L$510, 12, 0 )</f>
        <v>0</v>
      </c>
      <c r="F463" s="38"/>
      <c r="G463" s="38"/>
    </row>
    <row r="464" spans="1:7" x14ac:dyDescent="0.2">
      <c r="A464" s="15" t="s">
        <v>1001</v>
      </c>
      <c r="B464" s="15">
        <v>19830919</v>
      </c>
      <c r="C464" s="15">
        <v>20261231</v>
      </c>
      <c r="D464" s="25" t="s">
        <v>1614</v>
      </c>
      <c r="E464" s="19">
        <f>VLOOKUP( $A464, Sovereignty!$A$2:$L$510, 12, 0 )</f>
        <v>0</v>
      </c>
      <c r="F464" s="38"/>
      <c r="G464" s="38"/>
    </row>
    <row r="465" spans="1:7" x14ac:dyDescent="0.2">
      <c r="A465" s="15" t="s">
        <v>2066</v>
      </c>
      <c r="B465" s="15">
        <v>18820616</v>
      </c>
      <c r="C465" s="15">
        <v>19830919</v>
      </c>
      <c r="D465" s="25" t="s">
        <v>1614</v>
      </c>
      <c r="E465" s="19">
        <f>VLOOKUP( $A465, Sovereignty!$A$2:$L$510, 12, 0 )</f>
        <v>0</v>
      </c>
      <c r="F465" s="38"/>
      <c r="G465" s="38"/>
    </row>
    <row r="466" spans="1:7" x14ac:dyDescent="0.2">
      <c r="A466" s="15" t="s">
        <v>1005</v>
      </c>
      <c r="B466" s="15">
        <v>19811101</v>
      </c>
      <c r="C466" s="15">
        <v>20261231</v>
      </c>
      <c r="D466" s="25" t="s">
        <v>2083</v>
      </c>
      <c r="E466" s="19">
        <f>VLOOKUP( $A466, Sovereignty!$A$2:$L$510, 12, 0 )</f>
        <v>0</v>
      </c>
      <c r="F466" s="38"/>
      <c r="G466" s="38"/>
    </row>
    <row r="467" spans="1:7" x14ac:dyDescent="0.2">
      <c r="A467" s="15" t="s">
        <v>2073</v>
      </c>
      <c r="B467" s="15">
        <v>16320101</v>
      </c>
      <c r="C467" s="15">
        <v>19811101</v>
      </c>
      <c r="D467" s="25" t="s">
        <v>1615</v>
      </c>
      <c r="E467" s="19">
        <f>VLOOKUP( $A467, Sovereignty!$A$2:$L$510, 12, 0 )</f>
        <v>0</v>
      </c>
      <c r="F467" s="38"/>
      <c r="G467" s="38"/>
    </row>
    <row r="468" spans="1:7" x14ac:dyDescent="0.2">
      <c r="A468" s="15" t="s">
        <v>2071</v>
      </c>
      <c r="B468" s="15">
        <v>16780101</v>
      </c>
      <c r="C468" s="15">
        <v>19811101</v>
      </c>
      <c r="D468" s="25" t="s">
        <v>2072</v>
      </c>
      <c r="E468" s="19">
        <f>VLOOKUP( $A468, Sovereignty!$A$2:$L$510, 12, 0 )</f>
        <v>0</v>
      </c>
      <c r="F468" s="38"/>
      <c r="G468" s="38"/>
    </row>
    <row r="469" spans="1:7" x14ac:dyDescent="0.2">
      <c r="A469" s="15" t="s">
        <v>2093</v>
      </c>
      <c r="B469" s="15">
        <v>18650715</v>
      </c>
      <c r="C469" s="15">
        <v>20261231</v>
      </c>
      <c r="D469" s="25" t="s">
        <v>1616</v>
      </c>
      <c r="E469" s="19">
        <f>VLOOKUP( $A469, Sovereignty!$A$2:$L$510, 12, 0 )</f>
        <v>0</v>
      </c>
      <c r="F469" s="38"/>
      <c r="G469" s="38"/>
    </row>
    <row r="470" spans="1:7" x14ac:dyDescent="0.2">
      <c r="A470" s="15" t="s">
        <v>2092</v>
      </c>
      <c r="B470" s="15">
        <v>18610318</v>
      </c>
      <c r="C470" s="15">
        <v>18650715</v>
      </c>
      <c r="D470" s="25" t="s">
        <v>1616</v>
      </c>
      <c r="E470" s="19">
        <f>VLOOKUP( $A470, Sovereignty!$A$2:$L$510, 12, 0 )</f>
        <v>0</v>
      </c>
      <c r="F470" s="38"/>
      <c r="G470" s="38"/>
    </row>
    <row r="471" spans="1:7" x14ac:dyDescent="0.2">
      <c r="A471" s="15" t="s">
        <v>1012</v>
      </c>
      <c r="B471" s="15">
        <v>18440227</v>
      </c>
      <c r="C471" s="15">
        <v>18610318</v>
      </c>
      <c r="D471" s="25" t="s">
        <v>1616</v>
      </c>
      <c r="E471" s="19">
        <f>VLOOKUP( $A471, Sovereignty!$A$2:$L$510, 12, 0 )</f>
        <v>0</v>
      </c>
      <c r="F471" s="38"/>
      <c r="G471" s="38"/>
    </row>
    <row r="472" spans="1:7" x14ac:dyDescent="0.2">
      <c r="A472" s="15" t="s">
        <v>2090</v>
      </c>
      <c r="B472" s="15">
        <v>18090709</v>
      </c>
      <c r="C472" s="15">
        <v>18220209</v>
      </c>
      <c r="D472" s="25" t="s">
        <v>1616</v>
      </c>
      <c r="E472" s="19">
        <f>VLOOKUP( $A472, Sovereignty!$A$2:$L$510, 12, 0 )</f>
        <v>0</v>
      </c>
      <c r="F472" s="38"/>
      <c r="G472" s="38"/>
    </row>
    <row r="473" spans="1:7" x14ac:dyDescent="0.2">
      <c r="A473" s="15" t="s">
        <v>2089</v>
      </c>
      <c r="B473" s="15">
        <v>17950722</v>
      </c>
      <c r="C473" s="15">
        <v>18090709</v>
      </c>
      <c r="D473" s="25" t="s">
        <v>1616</v>
      </c>
      <c r="E473" s="19">
        <f>VLOOKUP( $A473, Sovereignty!$A$2:$L$510, 12, 0 )</f>
        <v>0</v>
      </c>
      <c r="F473" s="38"/>
      <c r="G473" s="38"/>
    </row>
    <row r="474" spans="1:7" x14ac:dyDescent="0.2">
      <c r="A474" s="15" t="s">
        <v>2087</v>
      </c>
      <c r="B474" s="15">
        <v>14921205</v>
      </c>
      <c r="C474" s="15">
        <v>17950722</v>
      </c>
      <c r="D474" s="25" t="s">
        <v>1616</v>
      </c>
      <c r="E474" s="19">
        <f>VLOOKUP( $A474, Sovereignty!$A$2:$L$510, 12, 0 )</f>
        <v>0</v>
      </c>
      <c r="F474" s="38"/>
      <c r="G474" s="38"/>
    </row>
    <row r="475" spans="1:7" x14ac:dyDescent="0.2">
      <c r="A475" s="15" t="s">
        <v>2077</v>
      </c>
      <c r="B475" s="15">
        <v>16120101</v>
      </c>
      <c r="C475" s="15">
        <v>20261231</v>
      </c>
      <c r="D475" s="25" t="s">
        <v>765</v>
      </c>
      <c r="E475" s="19">
        <f>VLOOKUP( $A475, Sovereignty!$A$2:$L$510, 12, 0 )</f>
        <v>0</v>
      </c>
      <c r="F475" s="38"/>
      <c r="G475" s="38"/>
    </row>
    <row r="476" spans="1:7" x14ac:dyDescent="0.2">
      <c r="A476" s="15" t="s">
        <v>871</v>
      </c>
      <c r="B476" s="15">
        <v>16700101</v>
      </c>
      <c r="C476" s="15">
        <v>20261231</v>
      </c>
      <c r="D476" s="25" t="s">
        <v>1617</v>
      </c>
      <c r="E476" s="19">
        <f>VLOOKUP( $A476, Sovereignty!$A$2:$L$510, 12, 0 )</f>
        <v>0</v>
      </c>
      <c r="F476" s="38"/>
      <c r="G476" s="38"/>
    </row>
    <row r="477" spans="1:7" x14ac:dyDescent="0.2">
      <c r="A477" s="15" t="s">
        <v>2080</v>
      </c>
      <c r="B477" s="15">
        <v>17830903</v>
      </c>
      <c r="C477" s="15">
        <v>20261231</v>
      </c>
      <c r="D477" s="25" t="s">
        <v>1618</v>
      </c>
      <c r="E477" s="19">
        <f>VLOOKUP( $A477, Sovereignty!$A$2:$L$510, 12, 0 )</f>
        <v>0</v>
      </c>
      <c r="F477" s="38"/>
      <c r="G477" s="38"/>
    </row>
    <row r="478" spans="1:7" x14ac:dyDescent="0.2">
      <c r="A478" s="15" t="s">
        <v>889</v>
      </c>
      <c r="B478" s="15">
        <v>16720101</v>
      </c>
      <c r="C478" s="15">
        <v>20261231</v>
      </c>
      <c r="D478" s="25" t="s">
        <v>1619</v>
      </c>
      <c r="E478" s="19">
        <f>VLOOKUP( $A478, Sovereignty!$A$2:$L$510, 12, 0 )</f>
        <v>0</v>
      </c>
      <c r="F478" s="38"/>
      <c r="G478" s="38"/>
    </row>
    <row r="479" spans="1:7" x14ac:dyDescent="0.2">
      <c r="A479" s="15" t="s">
        <v>2084</v>
      </c>
      <c r="B479" s="15">
        <v>16670101</v>
      </c>
      <c r="C479" s="15">
        <v>20261231</v>
      </c>
      <c r="D479" s="25" t="s">
        <v>1620</v>
      </c>
      <c r="E479" s="19">
        <f>VLOOKUP( $A479, Sovereignty!$A$2:$L$510, 12, 0 )</f>
        <v>0</v>
      </c>
      <c r="F479" s="38"/>
      <c r="G479" s="38"/>
    </row>
    <row r="480" spans="1:7" x14ac:dyDescent="0.2">
      <c r="A480" s="15" t="s">
        <v>2097</v>
      </c>
      <c r="B480" s="15">
        <v>18440227</v>
      </c>
      <c r="C480" s="15">
        <v>20261231</v>
      </c>
      <c r="D480" s="25" t="s">
        <v>65</v>
      </c>
      <c r="E480" s="19">
        <f>VLOOKUP( $A480, Sovereignty!$A$2:$L$510, 12, 0 )</f>
        <v>0</v>
      </c>
      <c r="F480" s="38"/>
      <c r="G480" s="38"/>
    </row>
    <row r="481" spans="1:7" x14ac:dyDescent="0.2">
      <c r="A481" s="15" t="s">
        <v>2097</v>
      </c>
      <c r="B481" s="15">
        <v>18220209</v>
      </c>
      <c r="C481" s="15">
        <v>18440227</v>
      </c>
      <c r="D481" s="25" t="s">
        <v>2102</v>
      </c>
      <c r="E481" s="19">
        <f>VLOOKUP( $A481, Sovereignty!$A$2:$L$510, 12, 0 )</f>
        <v>0</v>
      </c>
      <c r="F481" s="38"/>
      <c r="G481" s="38"/>
    </row>
    <row r="482" spans="1:7" x14ac:dyDescent="0.2">
      <c r="A482" s="15" t="s">
        <v>2097</v>
      </c>
      <c r="B482" s="15">
        <v>18040101</v>
      </c>
      <c r="C482" s="15">
        <v>18220209</v>
      </c>
      <c r="D482" s="25" t="s">
        <v>65</v>
      </c>
      <c r="E482" s="19">
        <f>VLOOKUP( $A482, Sovereignty!$A$2:$L$510, 12, 0 )</f>
        <v>0</v>
      </c>
      <c r="F482" s="38"/>
      <c r="G482" s="38"/>
    </row>
    <row r="483" spans="1:7" x14ac:dyDescent="0.2">
      <c r="A483" s="15" t="s">
        <v>2098</v>
      </c>
      <c r="B483" s="15">
        <v>16970101</v>
      </c>
      <c r="C483" s="15">
        <v>18040101</v>
      </c>
      <c r="D483" s="25" t="s">
        <v>65</v>
      </c>
      <c r="E483" s="19">
        <f>VLOOKUP( $A483, Sovereignty!$A$2:$L$510, 12, 0 )</f>
        <v>0</v>
      </c>
      <c r="F483" s="38"/>
      <c r="G483" s="38"/>
    </row>
    <row r="484" spans="1:7" x14ac:dyDescent="0.2">
      <c r="A484" s="15" t="s">
        <v>1006</v>
      </c>
      <c r="B484" s="15">
        <v>19020520</v>
      </c>
      <c r="C484" s="15">
        <v>20261231</v>
      </c>
      <c r="D484" s="25" t="s">
        <v>38</v>
      </c>
      <c r="E484" s="19">
        <f>VLOOKUP( $A484, Sovereignty!$A$2:$L$510, 12, 0 )</f>
        <v>0</v>
      </c>
      <c r="F484" s="38"/>
      <c r="G484" s="38"/>
    </row>
    <row r="485" spans="1:7" x14ac:dyDescent="0.2">
      <c r="A485" s="15" t="s">
        <v>2103</v>
      </c>
      <c r="B485" s="15">
        <v>18981210</v>
      </c>
      <c r="C485" s="15">
        <v>19020520</v>
      </c>
      <c r="D485" s="25" t="s">
        <v>38</v>
      </c>
      <c r="E485" s="19">
        <f>VLOOKUP( $A485, Sovereignty!$A$2:$L$510, 12, 0 )</f>
        <v>0</v>
      </c>
      <c r="F485" s="38"/>
      <c r="G485" s="38"/>
    </row>
    <row r="486" spans="1:7" x14ac:dyDescent="0.2">
      <c r="A486" s="15" t="s">
        <v>2104</v>
      </c>
      <c r="B486" s="15">
        <v>16070101</v>
      </c>
      <c r="C486" s="15">
        <v>18981210</v>
      </c>
      <c r="D486" s="25" t="s">
        <v>38</v>
      </c>
      <c r="E486" s="19">
        <f>VLOOKUP( $A486, Sovereignty!$A$2:$L$510, 12, 0 )</f>
        <v>0</v>
      </c>
      <c r="F486" s="38"/>
      <c r="G486" s="38"/>
    </row>
    <row r="487" spans="1:7" x14ac:dyDescent="0.2">
      <c r="A487" s="15" t="s">
        <v>1003</v>
      </c>
      <c r="B487" s="15">
        <v>19620806</v>
      </c>
      <c r="C487" s="15">
        <v>20261231</v>
      </c>
      <c r="D487" s="25" t="s">
        <v>75</v>
      </c>
      <c r="E487" s="19">
        <f>VLOOKUP( $A487, Sovereignty!$A$2:$L$510, 12, 0 )</f>
        <v>0</v>
      </c>
      <c r="F487" s="38"/>
      <c r="G487" s="38"/>
    </row>
    <row r="488" spans="1:7" x14ac:dyDescent="0.2">
      <c r="A488" s="15" t="s">
        <v>2114</v>
      </c>
      <c r="B488" s="15">
        <v>16550510</v>
      </c>
      <c r="C488" s="15">
        <v>19620806</v>
      </c>
      <c r="D488" s="25" t="s">
        <v>75</v>
      </c>
      <c r="E488" s="19">
        <f>VLOOKUP( $A488, Sovereignty!$A$2:$L$510, 12, 0 )</f>
        <v>0</v>
      </c>
      <c r="F488" s="38"/>
      <c r="G488" s="38"/>
    </row>
    <row r="489" spans="1:7" x14ac:dyDescent="0.2">
      <c r="A489" s="15" t="s">
        <v>2115</v>
      </c>
      <c r="B489" s="15">
        <v>15090101</v>
      </c>
      <c r="C489" s="15">
        <v>16550510</v>
      </c>
      <c r="D489" s="25" t="s">
        <v>75</v>
      </c>
      <c r="E489" s="19">
        <f>VLOOKUP( $A489, Sovereignty!$A$2:$L$510, 12, 0 )</f>
        <v>0</v>
      </c>
      <c r="F489" s="38"/>
      <c r="G489" s="38"/>
    </row>
    <row r="490" spans="1:7" x14ac:dyDescent="0.2">
      <c r="A490" s="15" t="s">
        <v>1011</v>
      </c>
      <c r="B490" s="15">
        <v>19031103</v>
      </c>
      <c r="C490" s="15">
        <v>20261231</v>
      </c>
      <c r="D490" s="25" t="s">
        <v>122</v>
      </c>
      <c r="E490" s="19">
        <f>VLOOKUP( $A490, Sovereignty!$A$2:$L$510, 12, 0 )</f>
        <v>0</v>
      </c>
      <c r="F490" s="38"/>
      <c r="G490" s="38"/>
    </row>
    <row r="491" spans="1:7" x14ac:dyDescent="0.2">
      <c r="A491" s="15" t="s">
        <v>1020</v>
      </c>
      <c r="B491" s="15">
        <v>18381114</v>
      </c>
      <c r="C491" s="15">
        <v>20261231</v>
      </c>
      <c r="D491" s="25" t="s">
        <v>1621</v>
      </c>
      <c r="E491" s="19">
        <f>VLOOKUP( $A491, Sovereignty!$A$2:$L$510, 12, 0 )</f>
        <v>0</v>
      </c>
      <c r="F491" s="38"/>
      <c r="G491" s="38"/>
    </row>
    <row r="492" spans="1:7" x14ac:dyDescent="0.2">
      <c r="A492" s="15" t="s">
        <v>2126</v>
      </c>
      <c r="B492" s="15">
        <v>18230701</v>
      </c>
      <c r="C492" s="15">
        <v>18410130</v>
      </c>
      <c r="D492" s="25" t="s">
        <v>2132</v>
      </c>
      <c r="E492" s="19">
        <f>VLOOKUP( $A492, Sovereignty!$A$2:$L$510, 12, 0 )</f>
        <v>0</v>
      </c>
      <c r="F492" s="38"/>
      <c r="G492" s="38"/>
    </row>
    <row r="493" spans="1:7" x14ac:dyDescent="0.2">
      <c r="A493" s="15" t="s">
        <v>1007</v>
      </c>
      <c r="B493" s="15">
        <v>18380430</v>
      </c>
      <c r="C493" s="15">
        <v>20261231</v>
      </c>
      <c r="D493" s="25" t="s">
        <v>114</v>
      </c>
      <c r="E493" s="19">
        <f>VLOOKUP( $A493, Sovereignty!$A$2:$L$510, 12, 0 )</f>
        <v>0</v>
      </c>
      <c r="F493" s="38"/>
      <c r="G493" s="38"/>
    </row>
    <row r="494" spans="1:7" x14ac:dyDescent="0.2">
      <c r="A494" s="15" t="s">
        <v>2144</v>
      </c>
      <c r="B494" s="15">
        <v>16090101</v>
      </c>
      <c r="C494" s="15">
        <v>18210915</v>
      </c>
      <c r="D494" s="25" t="s">
        <v>2132</v>
      </c>
      <c r="E494" s="19">
        <f>VLOOKUP( $A494, Sovereignty!$A$2:$L$510, 12, 0 )</f>
        <v>0</v>
      </c>
      <c r="F494" s="38"/>
      <c r="G494" s="38"/>
    </row>
    <row r="495" spans="1:7" x14ac:dyDescent="0.2">
      <c r="A495" s="15" t="s">
        <v>1008</v>
      </c>
      <c r="B495" s="15">
        <v>18381105</v>
      </c>
      <c r="C495" s="15">
        <v>20261231</v>
      </c>
      <c r="D495" s="25" t="s">
        <v>66</v>
      </c>
      <c r="E495" s="19">
        <f>VLOOKUP( $A495, Sovereignty!$A$2:$L$510, 12, 0 )</f>
        <v>0</v>
      </c>
      <c r="F495" s="38"/>
      <c r="G495" s="38"/>
    </row>
    <row r="496" spans="1:7" x14ac:dyDescent="0.2">
      <c r="A496" s="15" t="s">
        <v>1013</v>
      </c>
      <c r="B496" s="15">
        <v>18390417</v>
      </c>
      <c r="C496" s="15">
        <v>20261231</v>
      </c>
      <c r="D496" s="25" t="s">
        <v>61</v>
      </c>
      <c r="E496" s="19">
        <f>VLOOKUP( $A496, Sovereignty!$A$2:$L$510, 12, 0 )</f>
        <v>0</v>
      </c>
      <c r="F496" s="38"/>
      <c r="G496" s="38"/>
    </row>
    <row r="497" spans="1:7" x14ac:dyDescent="0.2">
      <c r="A497" s="15" t="s">
        <v>1015</v>
      </c>
      <c r="B497" s="15">
        <v>19810921</v>
      </c>
      <c r="C497" s="15">
        <v>20261231</v>
      </c>
      <c r="D497" s="25" t="s">
        <v>16</v>
      </c>
      <c r="E497" s="19">
        <f>VLOOKUP( $A497, Sovereignty!$A$2:$L$510, 12, 0 )</f>
        <v>0</v>
      </c>
      <c r="F497" s="38"/>
      <c r="G497" s="38"/>
    </row>
    <row r="498" spans="1:7" x14ac:dyDescent="0.2">
      <c r="A498" s="15" t="s">
        <v>2268</v>
      </c>
      <c r="B498" s="15">
        <v>18620101</v>
      </c>
      <c r="C498" s="15">
        <v>19810921</v>
      </c>
      <c r="D498" s="25" t="s">
        <v>16</v>
      </c>
      <c r="E498" s="19">
        <f>VLOOKUP( $A498, Sovereignty!$A$2:$L$510, 12, 0 )</f>
        <v>0</v>
      </c>
      <c r="F498" s="38"/>
      <c r="G498" s="38"/>
    </row>
    <row r="499" spans="1:7" x14ac:dyDescent="0.2">
      <c r="A499" s="15" t="s">
        <v>1019</v>
      </c>
      <c r="B499" s="15">
        <v>18410130</v>
      </c>
      <c r="C499" s="15">
        <v>20261231</v>
      </c>
      <c r="D499" s="25" t="s">
        <v>1622</v>
      </c>
      <c r="E499" s="19">
        <f>VLOOKUP( $A499, Sovereignty!$A$2:$L$510, 12, 0 )</f>
        <v>0</v>
      </c>
      <c r="F499" s="38"/>
      <c r="G499" s="38"/>
    </row>
    <row r="500" spans="1:7" x14ac:dyDescent="0.2">
      <c r="A500" s="15" t="s">
        <v>1014</v>
      </c>
      <c r="B500" s="15">
        <v>18210927</v>
      </c>
      <c r="C500" s="15">
        <v>20261231</v>
      </c>
      <c r="D500" s="25" t="s">
        <v>102</v>
      </c>
      <c r="E500" s="19">
        <f>VLOOKUP( $A500, Sovereignty!$A$2:$L$510, 12, 0 )</f>
        <v>0</v>
      </c>
      <c r="F500" s="38"/>
      <c r="G500" s="38"/>
    </row>
    <row r="501" spans="1:7" x14ac:dyDescent="0.2">
      <c r="A501" s="15" t="s">
        <v>2279</v>
      </c>
      <c r="B501" s="15">
        <v>15350101</v>
      </c>
      <c r="C501" s="15">
        <v>18210927</v>
      </c>
      <c r="D501" s="25" t="s">
        <v>102</v>
      </c>
      <c r="E501" s="19">
        <f>VLOOKUP( $A501, Sovereignty!$A$2:$L$510, 12, 0 )</f>
        <v>0</v>
      </c>
      <c r="F501" s="38"/>
      <c r="G501" s="38"/>
    </row>
    <row r="502" spans="1:7" x14ac:dyDescent="0.2">
      <c r="A502" s="15" t="s">
        <v>831</v>
      </c>
      <c r="B502" s="15">
        <v>18981210</v>
      </c>
      <c r="C502" s="15">
        <v>20261231</v>
      </c>
      <c r="D502" s="25" t="s">
        <v>1623</v>
      </c>
      <c r="E502" s="19">
        <f>VLOOKUP( $A502, Sovereignty!$A$2:$L$510, 12, 0 )</f>
        <v>0</v>
      </c>
      <c r="F502" s="38"/>
      <c r="G502" s="38"/>
    </row>
    <row r="503" spans="1:7" x14ac:dyDescent="0.2">
      <c r="A503" s="15" t="s">
        <v>833</v>
      </c>
      <c r="B503" s="15">
        <v>15820101</v>
      </c>
      <c r="C503" s="15">
        <v>18981210</v>
      </c>
      <c r="D503" s="25" t="s">
        <v>1623</v>
      </c>
      <c r="E503" s="19">
        <f>VLOOKUP( $A503, Sovereignty!$A$2:$L$510, 12, 0 )</f>
        <v>0</v>
      </c>
      <c r="F503" s="38"/>
      <c r="G503" s="38"/>
    </row>
    <row r="504" spans="1:7" x14ac:dyDescent="0.2">
      <c r="A504" s="15" t="s">
        <v>841</v>
      </c>
      <c r="B504" s="15">
        <v>19170331</v>
      </c>
      <c r="C504" s="15">
        <v>20261231</v>
      </c>
      <c r="D504" s="25" t="s">
        <v>1624</v>
      </c>
      <c r="E504" s="19">
        <f>VLOOKUP( $A504, Sovereignty!$A$2:$L$510, 12, 0 )</f>
        <v>0</v>
      </c>
      <c r="F504" s="38"/>
      <c r="G504" s="38"/>
    </row>
    <row r="505" spans="1:7" x14ac:dyDescent="0.2">
      <c r="A505" s="15" t="s">
        <v>837</v>
      </c>
      <c r="B505" s="15">
        <v>16720101</v>
      </c>
      <c r="C505" s="15">
        <v>19170331</v>
      </c>
      <c r="D505" s="25" t="s">
        <v>1624</v>
      </c>
      <c r="E505" s="19">
        <f>VLOOKUP( $A505, Sovereignty!$A$2:$L$510, 12, 0 )</f>
        <v>0</v>
      </c>
      <c r="F505" s="38"/>
      <c r="G505" s="38"/>
    </row>
    <row r="506" spans="1:7" x14ac:dyDescent="0.2">
      <c r="A506" s="15" t="s">
        <v>1018</v>
      </c>
      <c r="B506" s="15">
        <v>17760704</v>
      </c>
      <c r="C506" s="15">
        <v>20261231</v>
      </c>
      <c r="D506" s="25" t="s">
        <v>698</v>
      </c>
      <c r="E506" s="19">
        <f>VLOOKUP( $A506, Sovereignty!$A$2:$L$510, 12, 0 )</f>
        <v>0</v>
      </c>
      <c r="F506" s="38"/>
      <c r="G506" s="38"/>
    </row>
    <row r="507" spans="1:7" x14ac:dyDescent="0.2">
      <c r="A507" s="15" t="s">
        <v>1017</v>
      </c>
      <c r="B507" s="15">
        <v>18670701</v>
      </c>
      <c r="C507" s="15">
        <v>20261231</v>
      </c>
      <c r="D507" s="25" t="s">
        <v>29</v>
      </c>
      <c r="E507" s="19">
        <f>VLOOKUP( $A507, Sovereignty!$A$2:$L$510, 12, 0 )</f>
        <v>0</v>
      </c>
      <c r="F507" s="38"/>
      <c r="G507" s="38"/>
    </row>
    <row r="508" spans="1:7" x14ac:dyDescent="0.2">
      <c r="A508" s="15" t="s">
        <v>825</v>
      </c>
      <c r="B508" s="15">
        <v>17210101</v>
      </c>
      <c r="C508" s="15">
        <v>20261231</v>
      </c>
      <c r="D508" s="25" t="s">
        <v>756</v>
      </c>
      <c r="E508" s="19">
        <f>VLOOKUP( $A508, Sovereignty!$A$2:$L$510, 12, 0 )</f>
        <v>0</v>
      </c>
      <c r="F508" s="38"/>
      <c r="G508" s="38"/>
    </row>
    <row r="509" spans="1:7" x14ac:dyDescent="0.2">
      <c r="A509" s="15" t="s">
        <v>1499</v>
      </c>
      <c r="B509" s="15">
        <v>18140530</v>
      </c>
      <c r="C509" s="15">
        <v>20261231</v>
      </c>
      <c r="D509" s="25" t="s">
        <v>1500</v>
      </c>
      <c r="E509" s="19" t="str">
        <f>VLOOKUP( $A509, Sovereignty!$A$2:$L$510, 12, 0 )</f>
        <v>x</v>
      </c>
      <c r="F509" s="38"/>
      <c r="G509" s="38"/>
    </row>
    <row r="510" spans="1:7" x14ac:dyDescent="0.2">
      <c r="A510" s="15" t="s">
        <v>755</v>
      </c>
      <c r="B510" s="15">
        <v>19010101</v>
      </c>
      <c r="C510" s="15">
        <v>20261231</v>
      </c>
      <c r="D510" s="25" t="s">
        <v>8</v>
      </c>
      <c r="E510" s="19">
        <f>VLOOKUP( $A510, Sovereignty!$A$2:$L$510, 12, 0 )</f>
        <v>0</v>
      </c>
      <c r="F510" s="38"/>
      <c r="G510" s="38"/>
    </row>
    <row r="511" spans="1:7" x14ac:dyDescent="0.2">
      <c r="A511" s="15" t="s">
        <v>752</v>
      </c>
      <c r="B511" s="15">
        <v>17880118</v>
      </c>
      <c r="C511" s="15">
        <v>19010101</v>
      </c>
      <c r="D511" s="25" t="s">
        <v>1626</v>
      </c>
      <c r="E511" s="19">
        <f>VLOOKUP( $A511, Sovereignty!$A$2:$L$510, 12, 0 )</f>
        <v>0</v>
      </c>
      <c r="F511" s="38"/>
      <c r="G511" s="38"/>
    </row>
    <row r="512" spans="1:7" x14ac:dyDescent="0.2">
      <c r="A512" s="15" t="s">
        <v>750</v>
      </c>
      <c r="B512" s="15">
        <v>19070926</v>
      </c>
      <c r="C512" s="15">
        <v>20261231</v>
      </c>
      <c r="D512" s="25" t="s">
        <v>1625</v>
      </c>
      <c r="E512" s="19">
        <f>VLOOKUP( $A512, Sovereignty!$A$2:$L$510, 12, 0 )</f>
        <v>0</v>
      </c>
      <c r="F512" s="38"/>
      <c r="G512" s="38"/>
    </row>
    <row r="513" spans="1:7" x14ac:dyDescent="0.2">
      <c r="A513" s="15" t="s">
        <v>748</v>
      </c>
      <c r="B513" s="15">
        <v>18410503</v>
      </c>
      <c r="C513" s="15">
        <v>19070926</v>
      </c>
      <c r="D513" s="25" t="s">
        <v>1625</v>
      </c>
      <c r="E513" s="19">
        <f>VLOOKUP( $A513, Sovereignty!$A$2:$L$510, 12, 0 )</f>
        <v>0</v>
      </c>
      <c r="F513" s="38"/>
      <c r="G513" s="38"/>
    </row>
    <row r="514" spans="1:7" x14ac:dyDescent="0.2">
      <c r="A514" s="15" t="s">
        <v>744</v>
      </c>
      <c r="B514" s="15">
        <v>19750916</v>
      </c>
      <c r="C514" s="15">
        <v>20261231</v>
      </c>
      <c r="D514" s="25" t="s">
        <v>1627</v>
      </c>
      <c r="E514" s="19">
        <f>VLOOKUP( $A514, Sovereignty!$A$2:$L$510, 12, 0 )</f>
        <v>0</v>
      </c>
      <c r="F514" s="38"/>
      <c r="G514" s="38"/>
    </row>
    <row r="515" spans="1:7" x14ac:dyDescent="0.2">
      <c r="A515" s="15" t="s">
        <v>741</v>
      </c>
      <c r="B515" s="15">
        <v>19490701</v>
      </c>
      <c r="C515" s="15">
        <v>19750916</v>
      </c>
      <c r="D515" s="25" t="s">
        <v>1627</v>
      </c>
      <c r="E515" s="19">
        <f>VLOOKUP( $A515, Sovereignty!$A$2:$L$510, 12, 0 )</f>
        <v>0</v>
      </c>
      <c r="F515" s="38"/>
      <c r="G515" s="38"/>
    </row>
    <row r="516" spans="1:7" x14ac:dyDescent="0.2">
      <c r="A516" s="15" t="s">
        <v>738</v>
      </c>
      <c r="B516" s="15">
        <v>19201217</v>
      </c>
      <c r="C516" s="15">
        <v>19490701</v>
      </c>
      <c r="D516" s="25" t="s">
        <v>1627</v>
      </c>
      <c r="E516" s="19">
        <f>VLOOKUP( $A516, Sovereignty!$A$2:$L$510, 12, 0 )</f>
        <v>0</v>
      </c>
      <c r="F516" s="38"/>
      <c r="G516" s="38"/>
    </row>
    <row r="517" spans="1:7" x14ac:dyDescent="0.2">
      <c r="A517" s="15" t="s">
        <v>2302</v>
      </c>
      <c r="B517" s="15">
        <v>19020318</v>
      </c>
      <c r="C517" s="15">
        <v>19490701</v>
      </c>
      <c r="D517" s="25" t="s">
        <v>1627</v>
      </c>
      <c r="E517" s="19">
        <f>VLOOKUP( $A517, Sovereignty!$A$2:$L$510, 12, 0 )</f>
        <v>0</v>
      </c>
      <c r="F517" s="38"/>
      <c r="G517" s="38"/>
    </row>
    <row r="518" spans="1:7" x14ac:dyDescent="0.2">
      <c r="A518" s="15" t="s">
        <v>739</v>
      </c>
      <c r="B518" s="15">
        <v>18841021</v>
      </c>
      <c r="C518" s="15">
        <v>19020318</v>
      </c>
      <c r="D518" s="25" t="s">
        <v>1627</v>
      </c>
      <c r="E518" s="19">
        <f>VLOOKUP( $A518, Sovereignty!$A$2:$L$510, 12, 0 )</f>
        <v>0</v>
      </c>
      <c r="F518" s="38"/>
      <c r="G518" s="38"/>
    </row>
    <row r="519" spans="1:7" x14ac:dyDescent="0.2">
      <c r="A519" s="15" t="s">
        <v>714</v>
      </c>
      <c r="B519" s="15">
        <v>18841103</v>
      </c>
      <c r="C519" s="15">
        <v>19201217</v>
      </c>
      <c r="D519" s="25" t="s">
        <v>1628</v>
      </c>
      <c r="E519" s="19">
        <f>VLOOKUP( $A519, Sovereignty!$A$2:$L$510, 12, 0 )</f>
        <v>0</v>
      </c>
      <c r="F519" s="38"/>
      <c r="G519" s="38"/>
    </row>
    <row r="520" spans="1:7" x14ac:dyDescent="0.2">
      <c r="A520" s="15" t="s">
        <v>734</v>
      </c>
      <c r="B520" s="15">
        <v>19780707</v>
      </c>
      <c r="C520" s="15">
        <v>20261231</v>
      </c>
      <c r="D520" s="25" t="s">
        <v>1629</v>
      </c>
      <c r="E520" s="19">
        <f>VLOOKUP( $A520, Sovereignty!$A$2:$L$510, 12, 0 )</f>
        <v>0</v>
      </c>
      <c r="F520" s="38"/>
      <c r="G520" s="38"/>
    </row>
    <row r="521" spans="1:7" x14ac:dyDescent="0.2">
      <c r="A521" s="15" t="s">
        <v>732</v>
      </c>
      <c r="B521" s="15">
        <v>18930315</v>
      </c>
      <c r="C521" s="15">
        <v>19780707</v>
      </c>
      <c r="D521" s="25" t="s">
        <v>1629</v>
      </c>
      <c r="E521" s="19">
        <f>VLOOKUP( $A521, Sovereignty!$A$2:$L$510, 12, 0 )</f>
        <v>0</v>
      </c>
      <c r="F521" s="38"/>
      <c r="G521" s="38"/>
    </row>
    <row r="522" spans="1:7" x14ac:dyDescent="0.2">
      <c r="A522" s="15" t="s">
        <v>687</v>
      </c>
      <c r="B522" s="15">
        <v>19781001</v>
      </c>
      <c r="C522" s="15">
        <v>20261231</v>
      </c>
      <c r="D522" s="25" t="s">
        <v>169</v>
      </c>
      <c r="E522" s="19">
        <f>VLOOKUP( $A522, Sovereignty!$A$2:$L$510, 12, 0 )</f>
        <v>0</v>
      </c>
      <c r="F522" s="38"/>
      <c r="G522" s="38"/>
    </row>
    <row r="523" spans="1:7" x14ac:dyDescent="0.2">
      <c r="A523" s="15" t="s">
        <v>695</v>
      </c>
      <c r="B523" s="15">
        <v>19760101</v>
      </c>
      <c r="C523" s="15">
        <v>19781001</v>
      </c>
      <c r="D523" s="25" t="s">
        <v>169</v>
      </c>
      <c r="E523" s="19">
        <f>VLOOKUP( $A523, Sovereignty!$A$2:$L$510, 12, 0 )</f>
        <v>0</v>
      </c>
      <c r="F523" s="38"/>
      <c r="G523" s="38"/>
    </row>
    <row r="524" spans="1:7" x14ac:dyDescent="0.2">
      <c r="A524" s="15" t="s">
        <v>719</v>
      </c>
      <c r="B524" s="15">
        <v>19700604</v>
      </c>
      <c r="C524" s="15">
        <v>20261231</v>
      </c>
      <c r="D524" s="25" t="s">
        <v>164</v>
      </c>
      <c r="E524" s="19">
        <f>VLOOKUP( $A524, Sovereignty!$A$2:$L$510, 12, 0 )</f>
        <v>0</v>
      </c>
      <c r="F524" s="38"/>
      <c r="G524" s="38"/>
    </row>
    <row r="525" spans="1:7" x14ac:dyDescent="0.2">
      <c r="A525" s="15" t="s">
        <v>718</v>
      </c>
      <c r="B525" s="15">
        <v>19000518</v>
      </c>
      <c r="C525" s="15">
        <v>19700604</v>
      </c>
      <c r="D525" s="25" t="s">
        <v>164</v>
      </c>
      <c r="E525" s="19">
        <f>VLOOKUP( $A525, Sovereignty!$A$2:$L$510, 12, 0 )</f>
        <v>0</v>
      </c>
      <c r="F525" s="38"/>
      <c r="G525" s="38"/>
    </row>
    <row r="526" spans="1:7" x14ac:dyDescent="0.2">
      <c r="A526" s="15" t="s">
        <v>730</v>
      </c>
      <c r="B526" s="15">
        <v>19701010</v>
      </c>
      <c r="C526" s="15">
        <v>20261231</v>
      </c>
      <c r="D526" s="25" t="s">
        <v>54</v>
      </c>
      <c r="E526" s="19">
        <f>VLOOKUP( $A526, Sovereignty!$A$2:$L$510, 12, 0 )</f>
        <v>0</v>
      </c>
      <c r="F526" s="38"/>
      <c r="G526" s="38"/>
    </row>
    <row r="527" spans="1:7" x14ac:dyDescent="0.2">
      <c r="A527" s="15" t="s">
        <v>729</v>
      </c>
      <c r="B527" s="15">
        <v>18741010</v>
      </c>
      <c r="C527" s="15">
        <v>19701010</v>
      </c>
      <c r="D527" s="25" t="s">
        <v>54</v>
      </c>
      <c r="E527" s="19">
        <f>VLOOKUP( $A527, Sovereignty!$A$2:$L$510, 12, 0 )</f>
        <v>0</v>
      </c>
      <c r="F527" s="38"/>
      <c r="G527" s="38"/>
    </row>
    <row r="528" spans="1:7" x14ac:dyDescent="0.2">
      <c r="A528" s="15" t="s">
        <v>893</v>
      </c>
      <c r="B528" s="15">
        <v>19000417</v>
      </c>
      <c r="C528" s="15">
        <v>20261231</v>
      </c>
      <c r="D528" s="25" t="s">
        <v>2314</v>
      </c>
      <c r="E528" s="19">
        <f>VLOOKUP( $A528, Sovereignty!$A$2:$L$510, 12, 0 )</f>
        <v>0</v>
      </c>
      <c r="F528" s="38"/>
      <c r="G528" s="38"/>
    </row>
    <row r="529" spans="1:7" x14ac:dyDescent="0.2">
      <c r="A529" s="15" t="s">
        <v>721</v>
      </c>
      <c r="B529" s="15">
        <v>19620101</v>
      </c>
      <c r="C529" s="15">
        <v>20261231</v>
      </c>
      <c r="D529" s="25" t="s">
        <v>2313</v>
      </c>
      <c r="E529" s="19">
        <f>VLOOKUP( $A529, Sovereignty!$A$2:$L$510, 12, 0 )</f>
        <v>0</v>
      </c>
      <c r="F529" s="38"/>
      <c r="G529" s="38"/>
    </row>
    <row r="530" spans="1:7" x14ac:dyDescent="0.2">
      <c r="A530" s="15" t="s">
        <v>723</v>
      </c>
      <c r="B530" s="15">
        <v>19140830</v>
      </c>
      <c r="C530" s="15">
        <v>19620101</v>
      </c>
      <c r="D530" s="25" t="s">
        <v>137</v>
      </c>
      <c r="E530" s="19">
        <f>VLOOKUP( $A530, Sovereignty!$A$2:$L$510, 12, 0 )</f>
        <v>0</v>
      </c>
      <c r="F530" s="38"/>
      <c r="G530" s="38"/>
    </row>
    <row r="531" spans="1:7" x14ac:dyDescent="0.2">
      <c r="A531" s="15" t="s">
        <v>724</v>
      </c>
      <c r="B531" s="15">
        <v>19000301</v>
      </c>
      <c r="C531" s="15">
        <v>19140830</v>
      </c>
      <c r="D531" s="25" t="s">
        <v>137</v>
      </c>
      <c r="E531" s="19">
        <f>VLOOKUP( $A531, Sovereignty!$A$2:$L$510, 12, 0 )</f>
        <v>0</v>
      </c>
      <c r="F531" s="38"/>
      <c r="G531" s="38"/>
    </row>
    <row r="532" spans="1:7" x14ac:dyDescent="0.2">
      <c r="A532" s="15" t="s">
        <v>726</v>
      </c>
      <c r="B532" s="15">
        <v>19800730</v>
      </c>
      <c r="C532" s="15">
        <v>20261231</v>
      </c>
      <c r="D532" s="25" t="s">
        <v>176</v>
      </c>
      <c r="E532" s="19">
        <f>VLOOKUP( $A532, Sovereignty!$A$2:$L$510, 12, 0 )</f>
        <v>0</v>
      </c>
      <c r="F532" s="38"/>
      <c r="G532" s="38"/>
    </row>
    <row r="533" spans="1:7" x14ac:dyDescent="0.2">
      <c r="A533" s="15" t="s">
        <v>2321</v>
      </c>
      <c r="B533" s="15">
        <v>19061020</v>
      </c>
      <c r="C533" s="15">
        <v>19800730</v>
      </c>
      <c r="D533" s="25" t="s">
        <v>1630</v>
      </c>
      <c r="E533" s="19">
        <f>VLOOKUP( $A533, Sovereignty!$A$2:$L$510, 12, 0 )</f>
        <v>0</v>
      </c>
      <c r="F533" s="38"/>
      <c r="G533" s="38"/>
    </row>
    <row r="534" spans="1:7" x14ac:dyDescent="0.2">
      <c r="A534" s="15" t="s">
        <v>735</v>
      </c>
      <c r="B534" s="15">
        <v>19680131</v>
      </c>
      <c r="C534" s="15">
        <v>20261231</v>
      </c>
      <c r="D534" s="25" t="s">
        <v>110</v>
      </c>
      <c r="E534" s="19">
        <f>VLOOKUP( $A534, Sovereignty!$A$2:$L$510, 12, 0 )</f>
        <v>0</v>
      </c>
      <c r="F534" s="38"/>
      <c r="G534" s="38"/>
    </row>
    <row r="535" spans="1:7" x14ac:dyDescent="0.2">
      <c r="A535" s="15" t="s">
        <v>737</v>
      </c>
      <c r="B535" s="15">
        <v>19201217</v>
      </c>
      <c r="C535" s="15">
        <v>19680131</v>
      </c>
      <c r="D535" s="25" t="s">
        <v>110</v>
      </c>
      <c r="E535" s="19">
        <f>VLOOKUP( $A535, Sovereignty!$A$2:$L$510, 12, 0 )</f>
        <v>0</v>
      </c>
      <c r="F535" s="38"/>
      <c r="G535" s="38"/>
    </row>
    <row r="536" spans="1:7" x14ac:dyDescent="0.2">
      <c r="A536" s="15" t="s">
        <v>2324</v>
      </c>
      <c r="B536" s="15">
        <v>18420909</v>
      </c>
      <c r="C536" s="15">
        <v>20261231</v>
      </c>
      <c r="D536" s="25" t="s">
        <v>1631</v>
      </c>
      <c r="E536" s="19">
        <f>VLOOKUP( $A536, Sovereignty!$A$2:$L$510, 12, 0 )</f>
        <v>0</v>
      </c>
      <c r="F536" s="38"/>
      <c r="G536" s="38"/>
    </row>
    <row r="537" spans="1:7" x14ac:dyDescent="0.2">
      <c r="A537" s="15" t="s">
        <v>693</v>
      </c>
      <c r="B537" s="15">
        <v>19790712</v>
      </c>
      <c r="C537" s="15">
        <v>20261231</v>
      </c>
      <c r="D537" s="25" t="s">
        <v>80</v>
      </c>
      <c r="E537" s="19">
        <f>VLOOKUP( $A537, Sovereignty!$A$2:$L$510, 12, 0 )</f>
        <v>0</v>
      </c>
      <c r="F537" s="38"/>
      <c r="G537" s="38"/>
    </row>
    <row r="538" spans="1:7" x14ac:dyDescent="0.2">
      <c r="A538" s="15" t="s">
        <v>883</v>
      </c>
      <c r="B538" s="15">
        <v>18530924</v>
      </c>
      <c r="C538" s="15">
        <v>20261231</v>
      </c>
      <c r="D538" s="25" t="s">
        <v>1632</v>
      </c>
      <c r="E538" s="19">
        <f>VLOOKUP( $A538, Sovereignty!$A$2:$L$510, 12, 0 )</f>
        <v>0</v>
      </c>
      <c r="F538" s="38"/>
      <c r="G538" s="38"/>
    </row>
    <row r="539" spans="1:7" x14ac:dyDescent="0.2">
      <c r="A539" s="15" t="s">
        <v>692</v>
      </c>
      <c r="B539" s="15">
        <v>19760101</v>
      </c>
      <c r="C539" s="15">
        <v>19790712</v>
      </c>
      <c r="D539" s="25" t="s">
        <v>1633</v>
      </c>
      <c r="E539" s="19">
        <f>VLOOKUP( $A539, Sovereignty!$A$2:$L$510, 12, 0 )</f>
        <v>0</v>
      </c>
      <c r="F539" s="38"/>
      <c r="G539" s="38"/>
    </row>
    <row r="540" spans="1:7" x14ac:dyDescent="0.2">
      <c r="A540" s="15" t="s">
        <v>892</v>
      </c>
      <c r="B540" s="15">
        <v>19010611</v>
      </c>
      <c r="C540" s="15">
        <v>20261231</v>
      </c>
      <c r="D540" s="25" t="s">
        <v>1634</v>
      </c>
      <c r="E540" s="19">
        <f>VLOOKUP( $A540, Sovereignty!$A$2:$L$510, 12, 0 )</f>
        <v>0</v>
      </c>
      <c r="F540" s="38"/>
      <c r="G540" s="38"/>
    </row>
    <row r="541" spans="1:7" x14ac:dyDescent="0.2">
      <c r="A541" s="15" t="s">
        <v>689</v>
      </c>
      <c r="B541" s="15">
        <v>18920101</v>
      </c>
      <c r="C541" s="15">
        <v>19760101</v>
      </c>
      <c r="D541" s="25" t="s">
        <v>1633</v>
      </c>
      <c r="E541" s="19">
        <f>VLOOKUP( $A541, Sovereignty!$A$2:$L$510, 12, 0 )</f>
        <v>0</v>
      </c>
      <c r="F541" s="38"/>
      <c r="G541" s="38"/>
    </row>
    <row r="542" spans="1:7" x14ac:dyDescent="0.2">
      <c r="A542" s="15" t="s">
        <v>712</v>
      </c>
      <c r="B542" s="15">
        <v>19861021</v>
      </c>
      <c r="C542" s="15">
        <v>20261231</v>
      </c>
      <c r="D542" s="25" t="s">
        <v>1635</v>
      </c>
      <c r="E542" s="19">
        <f>VLOOKUP( $A542, Sovereignty!$A$2:$L$510, 12, 0 )</f>
        <v>0</v>
      </c>
      <c r="F542" s="38"/>
      <c r="G542" s="38"/>
    </row>
    <row r="543" spans="1:7" x14ac:dyDescent="0.2">
      <c r="A543" s="15" t="s">
        <v>699</v>
      </c>
      <c r="B543" s="15">
        <v>19470718</v>
      </c>
      <c r="C543" s="15">
        <v>19941001</v>
      </c>
      <c r="D543" s="25" t="s">
        <v>1636</v>
      </c>
      <c r="E543" s="19">
        <f>VLOOKUP( $A543, Sovereignty!$A$2:$L$510, 12, 0 )</f>
        <v>0</v>
      </c>
      <c r="F543" s="38"/>
      <c r="G543" s="38"/>
    </row>
    <row r="544" spans="1:7" x14ac:dyDescent="0.2">
      <c r="A544" s="15" t="s">
        <v>2328</v>
      </c>
      <c r="B544" s="15">
        <v>19140929</v>
      </c>
      <c r="C544" s="15">
        <v>19470718</v>
      </c>
      <c r="D544" s="25" t="s">
        <v>1637</v>
      </c>
      <c r="E544" s="19">
        <f>VLOOKUP( $A544, Sovereignty!$A$2:$L$510, 12, 0 )</f>
        <v>0</v>
      </c>
      <c r="F544" s="38"/>
      <c r="G544" s="38"/>
    </row>
    <row r="545" spans="1:7" x14ac:dyDescent="0.2">
      <c r="A545" s="15" t="s">
        <v>702</v>
      </c>
      <c r="B545" s="15">
        <v>19780109</v>
      </c>
      <c r="C545" s="15">
        <v>20261231</v>
      </c>
      <c r="D545" s="25" t="s">
        <v>1638</v>
      </c>
      <c r="E545" s="19">
        <f>VLOOKUP( $A545, Sovereignty!$A$2:$L$510, 12, 0 )</f>
        <v>0</v>
      </c>
      <c r="F545" s="38"/>
      <c r="G545" s="38"/>
    </row>
    <row r="546" spans="1:7" x14ac:dyDescent="0.2">
      <c r="A546" s="15" t="s">
        <v>703</v>
      </c>
      <c r="B546" s="15">
        <v>18981210</v>
      </c>
      <c r="C546" s="15">
        <v>20261231</v>
      </c>
      <c r="D546" s="25" t="s">
        <v>704</v>
      </c>
      <c r="E546" s="19">
        <f>VLOOKUP( $A546, Sovereignty!$A$2:$L$510, 12, 0 )</f>
        <v>0</v>
      </c>
      <c r="F546" s="38"/>
      <c r="G546" s="38"/>
    </row>
    <row r="547" spans="1:7" x14ac:dyDescent="0.2">
      <c r="A547" s="15" t="s">
        <v>713</v>
      </c>
      <c r="B547" s="15">
        <v>1986</v>
      </c>
      <c r="C547" s="15">
        <v>20261231</v>
      </c>
      <c r="D547" s="25" t="s">
        <v>711</v>
      </c>
      <c r="E547" s="19">
        <f>VLOOKUP( $A547, Sovereignty!$A$2:$L$510, 12, 0 )</f>
        <v>0</v>
      </c>
      <c r="F547" s="40" t="s">
        <v>624</v>
      </c>
      <c r="G547" s="40" t="s">
        <v>624</v>
      </c>
    </row>
    <row r="548" spans="1:7" x14ac:dyDescent="0.2">
      <c r="A548" s="15" t="s">
        <v>709</v>
      </c>
      <c r="B548" s="15">
        <v>19941001</v>
      </c>
      <c r="C548" s="15">
        <v>20261231</v>
      </c>
      <c r="D548" s="25" t="s">
        <v>121</v>
      </c>
      <c r="E548" s="19">
        <f>VLOOKUP( $A548, Sovereignty!$A$2:$L$510, 12, 0 )</f>
        <v>0</v>
      </c>
      <c r="F548" s="40" t="s">
        <v>624</v>
      </c>
      <c r="G548" s="40" t="s">
        <v>624</v>
      </c>
    </row>
    <row r="549" spans="1:7" x14ac:dyDescent="0.2">
      <c r="A549" s="15" t="s">
        <v>1780</v>
      </c>
      <c r="B549" s="15">
        <v>15710101</v>
      </c>
      <c r="C549" s="15">
        <v>18981210</v>
      </c>
      <c r="D549" s="25" t="s">
        <v>1639</v>
      </c>
      <c r="E549" s="19">
        <f>VLOOKUP( $A549, Sovereignty!$A$2:$L$510, 12, 0 )</f>
        <v>0</v>
      </c>
      <c r="F549" s="40" t="s">
        <v>624</v>
      </c>
      <c r="G549" s="40" t="s">
        <v>624</v>
      </c>
    </row>
  </sheetData>
  <conditionalFormatting sqref="A66:D551">
    <cfRule type="expression" dxfId="2" priority="6">
      <formula>_xlfn.ISFORMULA(A66)</formula>
    </cfRule>
  </conditionalFormatting>
  <conditionalFormatting sqref="A2:E549">
    <cfRule type="expression" dxfId="1" priority="7">
      <formula>($E2="x")</formula>
    </cfRule>
  </conditionalFormatting>
  <conditionalFormatting sqref="D63">
    <cfRule type="expression" dxfId="0" priority="1">
      <formula>_xlfn.ISFORMULA(D63)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Modern</vt:lpstr>
      <vt:lpstr>Sovereignty</vt:lpstr>
      <vt:lpstr>Capitals</vt:lpstr>
      <vt:lpstr>Names</vt:lpstr>
      <vt:lpstr>Maps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Edwards, Chris</dc:creator>
  <cp:lastModifiedBy>Edwards, Chris</cp:lastModifiedBy>
  <dcterms:created xsi:type="dcterms:W3CDTF">2026-02-08T01:04:00Z</dcterms:created>
  <dcterms:modified xsi:type="dcterms:W3CDTF">2026-03-12T12:23:52Z</dcterms:modified>
</cp:coreProperties>
</file>